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수업개요" sheetId="1" state="visible" r:id="rId1"/>
    <sheet xmlns:r="http://schemas.openxmlformats.org/officeDocument/2006/relationships" name="물리중심_지도안" sheetId="2" state="visible" r:id="rId2"/>
    <sheet xmlns:r="http://schemas.openxmlformats.org/officeDocument/2006/relationships" name="정보중심_지도안" sheetId="3" state="visible" r:id="rId3"/>
    <sheet xmlns:r="http://schemas.openxmlformats.org/officeDocument/2006/relationships" name="성취기준_매핑" sheetId="4" state="visible" r:id="rId4"/>
    <sheet xmlns:r="http://schemas.openxmlformats.org/officeDocument/2006/relationships" name="성취수준_평가기준" sheetId="5" state="visible" r:id="rId5"/>
    <sheet xmlns:r="http://schemas.openxmlformats.org/officeDocument/2006/relationships" name="평가기록(양식)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F3B8F"/>
      <sz val="15"/>
    </font>
    <font>
      <name val="맑은 고딕"/>
      <charset val="129"/>
      <family val="3"/>
      <color rgb="FF5B6B82"/>
      <sz val="9.5"/>
    </font>
    <font>
      <name val="맑은 고딕"/>
      <charset val="129"/>
      <family val="3"/>
      <b val="1"/>
      <color rgb="FF2F5FD8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D64550"/>
      <sz val="10"/>
    </font>
    <font>
      <name val="맑은 고딕"/>
      <charset val="129"/>
      <family val="3"/>
      <b val="1"/>
      <color rgb="FF0F9D8F"/>
      <sz val="9.5"/>
    </font>
    <font>
      <name val="맑은 고딕"/>
      <charset val="129"/>
      <family val="3"/>
      <b val="1"/>
      <color rgb="FF1F3B8F"/>
      <sz val="11"/>
    </font>
    <font>
      <name val="맑은 고딕"/>
      <charset val="129"/>
      <family val="3"/>
      <b val="1"/>
      <color rgb="FF1F9254"/>
      <sz val="9.5"/>
    </font>
    <font>
      <name val="맑은 고딕"/>
      <charset val="129"/>
      <family val="3"/>
      <b val="1"/>
      <color rgb="FFD64550"/>
      <sz val="9.5"/>
    </font>
    <font>
      <name val="맑은 고딕"/>
      <charset val="129"/>
      <family val="3"/>
      <i val="1"/>
      <color rgb="FFD64550"/>
      <sz val="9.5"/>
    </font>
    <font>
      <name val="맑은 고딕"/>
      <charset val="129"/>
      <family val="3"/>
      <b val="1"/>
      <color rgb="FFD9822B"/>
      <sz val="11"/>
    </font>
    <font>
      <name val="맑은 고딕"/>
      <charset val="129"/>
      <family val="3"/>
      <b val="1"/>
      <color rgb="FF1F3B8F"/>
      <sz val="9.5"/>
    </font>
    <font>
      <name val="맑은 고딕"/>
      <charset val="129"/>
      <family val="3"/>
      <sz val="9.5"/>
    </font>
    <font>
      <name val="맑은 고딕"/>
      <charset val="129"/>
      <family val="3"/>
      <b val="1"/>
      <color rgb="FF0000FF"/>
      <sz val="9.5"/>
    </font>
    <font>
      <name val="맑은 고딕"/>
      <charset val="129"/>
      <family val="3"/>
      <i val="1"/>
      <color rgb="FF5B6B82"/>
      <sz val="8.5"/>
    </font>
    <font>
      <name val="맑은 고딕"/>
      <charset val="129"/>
      <family val="3"/>
      <color rgb="FF0000FF"/>
      <sz val="10"/>
    </font>
    <font>
      <name val="맑은 고딕"/>
      <charset val="129"/>
      <family val="3"/>
      <b val="1"/>
      <color rgb="FF2F5FD8"/>
      <sz val="11"/>
    </font>
    <font>
      <name val="맑은 고딕"/>
      <charset val="129"/>
      <family val="3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1F3B8F"/>
      </patternFill>
    </fill>
    <fill>
      <patternFill patternType="solid">
        <fgColor rgb="FFF7F9FD"/>
      </patternFill>
    </fill>
    <fill>
      <patternFill patternType="solid">
        <fgColor rgb="FFE7EDFF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C8D2E0"/>
      </left>
      <right style="thin">
        <color rgb="FFC8D2E0"/>
      </right>
      <top style="thin">
        <color rgb="FFC8D2E0"/>
      </top>
      <bottom style="thin">
        <color rgb="FFC8D2E0"/>
      </bottom>
      <diagonal/>
    </border>
    <border>
      <left style="thin">
        <color rgb="FFC8D2E0"/>
      </left>
      <right/>
      <top/>
      <bottom/>
      <diagonal/>
    </border>
    <border>
      <left style="thin">
        <color rgb="FFC8D2E0"/>
      </left>
      <right style="thin">
        <color rgb="FFC8D2E0"/>
      </right>
      <top/>
      <bottom/>
      <diagonal/>
    </border>
    <border>
      <left style="thin">
        <color rgb="FFC8D2E0"/>
      </left>
      <right style="thin">
        <color rgb="FFC8D2E0"/>
      </right>
      <top/>
      <bottom style="thin">
        <color rgb="FFC8D2E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/>
    </xf>
    <xf numFmtId="0" fontId="7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8" fillId="5" borderId="1" applyAlignment="1" pivotButton="0" quotePrefix="0" xfId="0">
      <alignment vertical="center"/>
    </xf>
    <xf numFmtId="0" fontId="18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16" fillId="5" borderId="1" pivotButton="0" quotePrefix="0" xfId="0"/>
    <xf numFmtId="0" fontId="17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164" fontId="5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수업 설계</author>
  </authors>
  <commentList>
    <comment ref="F4" authorId="0" shapeId="0">
      <text>
        <t>단계별 권장 시간. 합계가 정확히 50분이 되도록 설계되었습니다.
출처: 웹앱 소스(index.html)의 단계 정의에서 자동 추출.</t>
      </text>
    </comment>
  </commentList>
</comments>
</file>

<file path=xl/comments/comment2.xml><?xml version="1.0" encoding="utf-8"?>
<comments xmlns="http://schemas.openxmlformats.org/spreadsheetml/2006/main">
  <authors>
    <author>수업 설계</author>
  </authors>
  <commentList>
    <comment ref="F4" authorId="0" shapeId="0">
      <text>
        <t>단계별 권장 시간. 합계가 정확히 50분이 되도록 설계되었습니다.
출처: 웹앱 소스(index.html)의 단계 정의에서 자동 추출.</t>
      </text>
    </comment>
  </commentList>
</comments>
</file>

<file path=xl/comments/comment3.xml><?xml version="1.0" encoding="utf-8"?>
<comments xmlns="http://schemas.openxmlformats.org/spreadsheetml/2006/main">
  <authors>
    <author>수업 설계</author>
  </authors>
  <commentList>
    <comment ref="C10" authorId="0" shapeId="0">
      <text>
        <t>작성 예시 행입니다. 실제 기록은 11행부터 입력하고 이 행은 지우십시오.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tabSelected="1" workbookViewId="0">
      <pane ySplit="4" topLeftCell="A5" activePane="bottomLeft" state="frozen"/>
      <selection pane="bottomLeft" activeCell="A1" sqref="A1:F1"/>
    </sheetView>
  </sheetViews>
  <sheetFormatPr baseColWidth="8" defaultRowHeight="17.4"/>
  <cols>
    <col width="16" customWidth="1" style="30" min="1" max="1"/>
    <col width="9" customWidth="1" style="30" min="2" max="10"/>
  </cols>
  <sheetData>
    <row r="1" ht="24" customHeight="1" s="30">
      <c r="A1" s="32" t="inlineStr">
        <is>
          <t>정보 × 물리 융합수업 — 코드로 만드는 운동 시뮬레이터</t>
        </is>
      </c>
    </row>
    <row r="2">
      <c r="A2" s="29" t="inlineStr">
        <is>
          <t>고등학교 | 8차시 × 50분 | 2개 과정(물리 중심 / 정보 중심) | 웹앱 기반 학생 자기주도 진행</t>
        </is>
      </c>
    </row>
    <row r="4" ht="19.2" customHeight="1" s="30">
      <c r="A4" s="1" t="inlineStr">
        <is>
          <t>과정 비교</t>
        </is>
      </c>
    </row>
    <row r="5" ht="28.05" customHeight="1" s="30">
      <c r="A5" s="2" t="inlineStr">
        <is>
          <t>구분</t>
        </is>
      </c>
      <c r="B5" s="2" t="inlineStr">
        <is>
          <t>물리 중심 과정</t>
        </is>
      </c>
      <c r="C5" s="2" t="inlineStr">
        <is>
          <t>정보 중심 과정</t>
        </is>
      </c>
    </row>
    <row r="6" ht="31.2" customHeight="1" s="30">
      <c r="A6" s="3" t="inlineStr">
        <is>
          <t>주(主) 교과</t>
        </is>
      </c>
      <c r="B6" s="34" t="inlineStr">
        <is>
          <t>「역학과 에너지」</t>
        </is>
      </c>
      <c r="C6" s="34" t="inlineStr">
        <is>
          <t>「정보」</t>
        </is>
      </c>
    </row>
    <row r="7" ht="46.8" customHeight="1" s="30">
      <c r="A7" s="3" t="inlineStr">
        <is>
          <t>보조 역할</t>
        </is>
      </c>
      <c r="B7" s="34" t="inlineStr">
        <is>
          <t>정보 — 계산 도구로 사용</t>
        </is>
      </c>
      <c r="C7" s="34" t="inlineStr">
        <is>
          <t>물리 — 문제 상황으로 사용</t>
        </is>
      </c>
    </row>
    <row r="8" ht="31.95" customHeight="1" s="30">
      <c r="A8" s="3" t="inlineStr">
        <is>
          <t>핵심 목표</t>
        </is>
      </c>
      <c r="B8" s="34" t="inlineStr">
        <is>
          <t>모형을 세우고 실험으로 검증하며
물리 개념을 확장한다</t>
        </is>
      </c>
      <c r="C8" s="34" t="inlineStr">
        <is>
          <t>물리 현상을 소재로
컴퓨팅 사고력을 기른다</t>
        </is>
      </c>
    </row>
    <row r="9">
      <c r="A9" s="3" t="inlineStr">
        <is>
          <t>총 차시</t>
        </is>
      </c>
      <c r="B9" s="34" t="n">
        <v>8</v>
      </c>
      <c r="C9" s="34" t="n">
        <v>8</v>
      </c>
    </row>
    <row r="10">
      <c r="A10" s="3" t="inlineStr">
        <is>
          <t>총 단계 수</t>
        </is>
      </c>
      <c r="B10" s="34" t="n">
        <v>52</v>
      </c>
      <c r="C10" s="34" t="n">
        <v>37</v>
      </c>
    </row>
    <row r="11">
      <c r="A11" s="3" t="inlineStr">
        <is>
          <t>총 수업 시간(분)</t>
        </is>
      </c>
      <c r="B11" s="5">
        <f>B9*50</f>
        <v/>
      </c>
      <c r="C11" s="5">
        <f>C9*50</f>
        <v/>
      </c>
    </row>
    <row r="13" ht="19.2" customHeight="1" s="30">
      <c r="A13" s="1" t="inlineStr">
        <is>
          <t>차시별 시간 배분 (분) — 각 지도안 시트에서 자동 집계</t>
        </is>
      </c>
    </row>
    <row r="14" ht="28.05" customHeight="1" s="30">
      <c r="A14" s="2" t="inlineStr">
        <is>
          <t>차시</t>
        </is>
      </c>
      <c r="B14" s="2" t="inlineStr">
        <is>
          <t>1차시</t>
        </is>
      </c>
      <c r="C14" s="2" t="inlineStr">
        <is>
          <t>2차시</t>
        </is>
      </c>
      <c r="D14" s="2" t="inlineStr">
        <is>
          <t>3차시</t>
        </is>
      </c>
      <c r="E14" s="2" t="inlineStr">
        <is>
          <t>4차시</t>
        </is>
      </c>
      <c r="F14" s="2" t="inlineStr">
        <is>
          <t>5차시</t>
        </is>
      </c>
      <c r="G14" s="2" t="inlineStr">
        <is>
          <t>6차시</t>
        </is>
      </c>
      <c r="H14" s="2" t="inlineStr">
        <is>
          <t>7차시</t>
        </is>
      </c>
      <c r="I14" s="2" t="inlineStr">
        <is>
          <t>8차시</t>
        </is>
      </c>
      <c r="J14" s="2" t="inlineStr">
        <is>
          <t>합계</t>
        </is>
      </c>
    </row>
    <row r="15">
      <c r="A15" s="3" t="inlineStr">
        <is>
          <t>물리 중심</t>
        </is>
      </c>
      <c r="B15" s="3">
        <f>SUMIF(물리중심_지도안!$A:$A,1,물리중심_지도안!$F:$F)</f>
        <v/>
      </c>
      <c r="C15" s="3">
        <f>SUMIF(물리중심_지도안!$A:$A,2,물리중심_지도안!$F:$F)</f>
        <v/>
      </c>
      <c r="D15" s="3">
        <f>SUMIF(물리중심_지도안!$A:$A,3,물리중심_지도안!$F:$F)</f>
        <v/>
      </c>
      <c r="E15" s="3">
        <f>SUMIF(물리중심_지도안!$A:$A,4,물리중심_지도안!$F:$F)</f>
        <v/>
      </c>
      <c r="F15" s="3">
        <f>SUMIF(물리중심_지도안!$A:$A,5,물리중심_지도안!$F:$F)</f>
        <v/>
      </c>
      <c r="G15" s="3">
        <f>SUMIF(물리중심_지도안!$A:$A,6,물리중심_지도안!$F:$F)</f>
        <v/>
      </c>
      <c r="H15" s="3">
        <f>SUMIF(물리중심_지도안!$A:$A,7,물리중심_지도안!$F:$F)</f>
        <v/>
      </c>
      <c r="I15" s="3">
        <f>SUMIF(물리중심_지도안!$A:$A,8,물리중심_지도안!$F:$F)</f>
        <v/>
      </c>
      <c r="J15" s="6">
        <f>SUM(B15:I15)</f>
        <v/>
      </c>
    </row>
    <row r="16">
      <c r="A16" s="3" t="inlineStr">
        <is>
          <t>정보 중심</t>
        </is>
      </c>
      <c r="B16" s="3">
        <f>SUMIF(정보중심_지도안!$A:$A,1,정보중심_지도안!$F:$F)</f>
        <v/>
      </c>
      <c r="C16" s="3">
        <f>SUMIF(정보중심_지도안!$A:$A,2,정보중심_지도안!$F:$F)</f>
        <v/>
      </c>
      <c r="D16" s="3">
        <f>SUMIF(정보중심_지도안!$A:$A,3,정보중심_지도안!$F:$F)</f>
        <v/>
      </c>
      <c r="E16" s="3">
        <f>SUMIF(정보중심_지도안!$A:$A,4,정보중심_지도안!$F:$F)</f>
        <v/>
      </c>
      <c r="F16" s="3">
        <f>SUMIF(정보중심_지도안!$A:$A,5,정보중심_지도안!$F:$F)</f>
        <v/>
      </c>
      <c r="G16" s="3">
        <f>SUMIF(정보중심_지도안!$A:$A,6,정보중심_지도안!$F:$F)</f>
        <v/>
      </c>
      <c r="H16" s="3">
        <f>SUMIF(정보중심_지도안!$A:$A,7,정보중심_지도안!$F:$F)</f>
        <v/>
      </c>
      <c r="I16" s="3">
        <f>SUMIF(정보중심_지도안!$A:$A,8,정보중심_지도안!$F:$F)</f>
        <v/>
      </c>
      <c r="J16" s="6">
        <f>SUM(B16:I16)</f>
        <v/>
      </c>
    </row>
    <row r="18" ht="19.2" customHeight="1" s="30">
      <c r="A18" s="1" t="inlineStr">
        <is>
          <t>단계 유형별 구성 (개수)</t>
        </is>
      </c>
    </row>
    <row r="19" ht="28.05" customHeight="1" s="30">
      <c r="A19" s="2" t="inlineStr">
        <is>
          <t>유형</t>
        </is>
      </c>
      <c r="B19" s="2" t="inlineStr">
        <is>
          <t>물리 중심</t>
        </is>
      </c>
      <c r="C19" s="2" t="inlineStr">
        <is>
          <t>정보 중심</t>
        </is>
      </c>
    </row>
    <row r="20">
      <c r="A20" s="3" t="inlineStr">
        <is>
          <t>탐구·활동</t>
        </is>
      </c>
      <c r="B20" s="3">
        <f>COUNTIF(물리중심_지도안!$E:$E,$A20)</f>
        <v/>
      </c>
      <c r="C20" s="3">
        <f>COUNTIF(정보중심_지도안!$E:$E,$A20)</f>
        <v/>
      </c>
    </row>
    <row r="21">
      <c r="A21" s="3" t="inlineStr">
        <is>
          <t>코딩 미션</t>
        </is>
      </c>
      <c r="B21" s="3">
        <f>COUNTIF(물리중심_지도안!$E:$E,$A21)</f>
        <v/>
      </c>
      <c r="C21" s="3">
        <f>COUNTIF(정보중심_지도안!$E:$E,$A21)</f>
        <v/>
      </c>
    </row>
    <row r="22">
      <c r="A22" s="3" t="inlineStr">
        <is>
          <t>측정값 제출</t>
        </is>
      </c>
      <c r="B22" s="3">
        <f>COUNTIF(물리중심_지도안!$E:$E,$A22)</f>
        <v/>
      </c>
      <c r="C22" s="3">
        <f>COUNTIF(정보중심_지도안!$E:$E,$A22)</f>
        <v/>
      </c>
    </row>
    <row r="23">
      <c r="A23" s="3" t="inlineStr">
        <is>
          <t>서술 작성</t>
        </is>
      </c>
      <c r="B23" s="3">
        <f>COUNTIF(물리중심_지도안!$E:$E,$A23)</f>
        <v/>
      </c>
      <c r="C23" s="3">
        <f>COUNTIF(정보중심_지도안!$E:$E,$A23)</f>
        <v/>
      </c>
    </row>
    <row r="24">
      <c r="A24" s="6" t="inlineStr">
        <is>
          <t>합계</t>
        </is>
      </c>
      <c r="B24" s="6">
        <f>SUM(B20:B23)</f>
        <v/>
      </c>
      <c r="C24" s="6">
        <f>SUM(C20:C23)</f>
        <v/>
      </c>
    </row>
    <row r="26">
      <c r="A26" s="7" t="inlineStr">
        <is>
          <t>※ 성취기준 확인 상태</t>
        </is>
      </c>
    </row>
    <row r="27">
      <c r="A27" s="31" t="inlineStr">
        <is>
          <t>물리(역학과 에너지) 성취기준은 교육부 고시 교육과정 원문과 대조해 확인했습니다. 정보 성취기준은 대조할 자료가 없어 번호를 확정하지 못했으니 NCIC에서 확인해 주십시오. 자세한 내용은 [성취기준_매핑] 시트 하단을 참고하십시오.</t>
        </is>
      </c>
    </row>
    <row r="28"/>
    <row r="30">
      <c r="A30" s="33" t="inlineStr">
        <is>
          <t>라이선스 : CC BY-NC-SA 4.0 (출처 표시 · 비영리 · 동일조건변경허락)</t>
        </is>
      </c>
    </row>
  </sheetData>
  <mergeCells count="4">
    <mergeCell ref="A2:F2"/>
    <mergeCell ref="A27:F28"/>
    <mergeCell ref="A1:F1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7.4"/>
  <cols>
    <col width="7" customWidth="1" style="30" min="1" max="1"/>
    <col width="30" customWidth="1" style="30" min="2" max="2"/>
    <col width="7" customWidth="1" style="30" min="3" max="3"/>
    <col width="46" customWidth="1" style="30" min="4" max="4"/>
    <col width="13" customWidth="1" style="30" min="5" max="5"/>
    <col width="10" customWidth="1" style="30" min="6" max="6"/>
  </cols>
  <sheetData>
    <row r="1" ht="24" customHeight="1" s="30">
      <c r="A1" s="32" t="inlineStr">
        <is>
          <t>물리 중심 과정 — 차시별 지도안</t>
        </is>
      </c>
    </row>
    <row r="2">
      <c r="A2" s="29" t="inlineStr">
        <is>
          <t>과목 「역학과 에너지」 주(主) · 정보는 계산 도구 | 각 차시 합계 50분 (소계는 수식으로 자동 계산)</t>
        </is>
      </c>
    </row>
    <row r="4" ht="28.05" customHeight="1" s="30">
      <c r="A4" s="2" t="inlineStr">
        <is>
          <t>차시</t>
        </is>
      </c>
      <c r="B4" s="2" t="inlineStr">
        <is>
          <t>차시 주제</t>
        </is>
      </c>
      <c r="C4" s="2" t="inlineStr">
        <is>
          <t>단계</t>
        </is>
      </c>
      <c r="D4" s="2" t="inlineStr">
        <is>
          <t>단계 활동명</t>
        </is>
      </c>
      <c r="E4" s="2" t="inlineStr">
        <is>
          <t>단계 유형</t>
        </is>
      </c>
      <c r="F4" s="2" t="inlineStr">
        <is>
          <t>시간(분)</t>
        </is>
      </c>
    </row>
    <row r="5">
      <c r="A5" s="8" t="n">
        <v>1</v>
      </c>
      <c r="B5" s="34" t="inlineStr">
        <is>
          <t>현상을 관찰하고 알고리즘 설계하기</t>
        </is>
      </c>
      <c r="C5" s="8" t="n">
        <v>1</v>
      </c>
      <c r="D5" s="34" t="inlineStr">
        <is>
          <t>오늘의 질문에 예측해 봅시다</t>
        </is>
      </c>
      <c r="E5" s="8" t="inlineStr">
        <is>
          <t>탐구·활동</t>
        </is>
      </c>
      <c r="F5" s="8" t="n">
        <v>3</v>
      </c>
    </row>
    <row r="6">
      <c r="A6" s="8" t="n">
        <v>1</v>
      </c>
      <c r="B6" s="35" t="n"/>
      <c r="C6" s="8" t="n">
        <v>2</v>
      </c>
      <c r="D6" s="34" t="inlineStr">
        <is>
          <t>시뮬레이터를 조작해 봅시다</t>
        </is>
      </c>
      <c r="E6" s="8" t="inlineStr">
        <is>
          <t>탐구·활동</t>
        </is>
      </c>
      <c r="F6" s="8" t="n">
        <v>6</v>
      </c>
    </row>
    <row r="7">
      <c r="A7" s="8" t="n">
        <v>1</v>
      </c>
      <c r="B7" s="35" t="n"/>
      <c r="C7" s="8" t="n">
        <v>3</v>
      </c>
      <c r="D7" s="34" t="inlineStr">
        <is>
          <t>공기저항이 없을 때, 가장 멀리 가는 각도는?</t>
        </is>
      </c>
      <c r="E7" s="8" t="inlineStr">
        <is>
          <t>탐구·활동</t>
        </is>
      </c>
      <c r="F7" s="8" t="n">
        <v>6</v>
      </c>
    </row>
    <row r="8">
      <c r="A8" s="8" t="n">
        <v>1</v>
      </c>
      <c r="B8" s="35" t="n"/>
      <c r="C8" s="8" t="n">
        <v>4</v>
      </c>
      <c r="D8" s="34" t="inlineStr">
        <is>
          <t>그런데 공기저항을 넣으면?</t>
        </is>
      </c>
      <c r="E8" s="8" t="inlineStr">
        <is>
          <t>탐구·활동</t>
        </is>
      </c>
      <c r="F8" s="8" t="n">
        <v>6</v>
      </c>
    </row>
    <row r="9">
      <c r="A9" s="8" t="n">
        <v>1</v>
      </c>
      <c r="B9" s="35" t="n"/>
      <c r="C9" s="8" t="n">
        <v>5</v>
      </c>
      <c r="D9" s="34" t="inlineStr">
        <is>
          <t>왜 공식으로는 풀 수 없을까</t>
        </is>
      </c>
      <c r="E9" s="8" t="inlineStr">
        <is>
          <t>탐구·활동</t>
        </is>
      </c>
      <c r="F9" s="8" t="n">
        <v>5</v>
      </c>
    </row>
    <row r="10">
      <c r="A10" s="8" t="n">
        <v>1</v>
      </c>
      <c r="B10" s="35" t="n"/>
      <c r="C10" s="8" t="n">
        <v>6</v>
      </c>
      <c r="D10" s="34" t="inlineStr">
        <is>
          <t>알고리즘 순서 맞추기</t>
        </is>
      </c>
      <c r="E10" s="8" t="inlineStr">
        <is>
          <t>탐구·활동</t>
        </is>
      </c>
      <c r="F10" s="8" t="n">
        <v>12</v>
      </c>
    </row>
    <row r="11">
      <c r="A11" s="8" t="n">
        <v>1</v>
      </c>
      <c r="B11" s="35" t="n"/>
      <c r="C11" s="8" t="n">
        <v>7</v>
      </c>
      <c r="D11" s="34" t="inlineStr">
        <is>
          <t>컴퓨터가 되어 한 스텝만 손으로 계산하기</t>
        </is>
      </c>
      <c r="E11" s="8" t="inlineStr">
        <is>
          <t>탐구·활동</t>
        </is>
      </c>
      <c r="F11" s="8" t="n">
        <v>8</v>
      </c>
    </row>
    <row r="12">
      <c r="A12" s="8" t="n">
        <v>1</v>
      </c>
      <c r="B12" s="36" t="n"/>
      <c r="C12" s="8" t="n">
        <v>8</v>
      </c>
      <c r="D12" s="34" t="inlineStr">
        <is>
          <t>오늘 배운 것 확인하기</t>
        </is>
      </c>
      <c r="E12" s="8" t="inlineStr">
        <is>
          <t>탐구·활동</t>
        </is>
      </c>
      <c r="F12" s="8" t="n">
        <v>4</v>
      </c>
    </row>
    <row r="13">
      <c r="A13" s="9" t="n"/>
      <c r="B13" s="10" t="n"/>
      <c r="C13" s="9" t="n"/>
      <c r="D13" s="10" t="inlineStr">
        <is>
          <t>1차시 소계</t>
        </is>
      </c>
      <c r="E13" s="9" t="n"/>
      <c r="F13" s="9">
        <f>SUM(F5:F12)</f>
        <v/>
      </c>
    </row>
    <row r="14">
      <c r="A14" s="8" t="n">
        <v>2</v>
      </c>
      <c r="B14" s="34" t="inlineStr">
        <is>
          <t>코드로 구현하고 오류 고치기</t>
        </is>
      </c>
      <c r="C14" s="8" t="n">
        <v>1</v>
      </c>
      <c r="D14" s="34" t="inlineStr">
        <is>
          <t>코드 실습실 사용법 익히기</t>
        </is>
      </c>
      <c r="E14" s="8" t="inlineStr">
        <is>
          <t>탐구·활동</t>
        </is>
      </c>
      <c r="F14" s="8" t="n">
        <v>4</v>
      </c>
    </row>
    <row r="15">
      <c r="A15" s="8" t="n">
        <v>2</v>
      </c>
      <c r="B15" s="35" t="n"/>
      <c r="C15" s="8" t="n">
        <v>2</v>
      </c>
      <c r="D15" s="34" t="inlineStr">
        <is>
          <t>빈칸 채우기 — 공을 날아가게 만들기</t>
        </is>
      </c>
      <c r="E15" s="8" t="inlineStr">
        <is>
          <t>코딩 미션</t>
        </is>
      </c>
      <c r="F15" s="8" t="n">
        <v>8</v>
      </c>
    </row>
    <row r="16">
      <c r="A16" s="8" t="n">
        <v>2</v>
      </c>
      <c r="B16" s="35" t="n"/>
      <c r="C16" s="8" t="n">
        <v>3</v>
      </c>
      <c r="D16" s="34" t="inlineStr">
        <is>
          <t>이론값과 맞춰보기</t>
        </is>
      </c>
      <c r="E16" s="8" t="inlineStr">
        <is>
          <t>코딩 미션</t>
        </is>
      </c>
      <c r="F16" s="8" t="n">
        <v>6</v>
      </c>
    </row>
    <row r="17">
      <c r="A17" s="8" t="n">
        <v>2</v>
      </c>
      <c r="B17" s="35" t="n"/>
      <c r="C17" s="8" t="n">
        <v>4</v>
      </c>
      <c r="D17" s="34" t="inlineStr">
        <is>
          <t>🔧 디버깅 트랙 — 고장난 코드를 고치세요</t>
        </is>
      </c>
      <c r="E17" s="8" t="inlineStr">
        <is>
          <t>탐구·활동</t>
        </is>
      </c>
      <c r="F17" s="8" t="n">
        <v>14</v>
      </c>
    </row>
    <row r="18">
      <c r="A18" s="8" t="n">
        <v>2</v>
      </c>
      <c r="B18" s="35" t="n"/>
      <c r="C18" s="8" t="n">
        <v>5</v>
      </c>
      <c r="D18" s="34" t="inlineStr">
        <is>
          <t>공기저항 넣기</t>
        </is>
      </c>
      <c r="E18" s="8" t="inlineStr">
        <is>
          <t>코딩 미션</t>
        </is>
      </c>
      <c r="F18" s="8" t="n">
        <v>10</v>
      </c>
    </row>
    <row r="19">
      <c r="A19" s="8" t="n">
        <v>2</v>
      </c>
      <c r="B19" s="35" t="n"/>
      <c r="C19" s="8" t="n">
        <v>6</v>
      </c>
      <c r="D19" s="34" t="inlineStr">
        <is>
          <t>Δt를 바꾸면 오차가 어떻게 변할까</t>
        </is>
      </c>
      <c r="E19" s="8" t="inlineStr">
        <is>
          <t>탐구·활동</t>
        </is>
      </c>
      <c r="F19" s="8" t="n">
        <v>6</v>
      </c>
    </row>
    <row r="20">
      <c r="A20" s="8" t="n">
        <v>2</v>
      </c>
      <c r="B20" s="36" t="n"/>
      <c r="C20" s="8" t="n">
        <v>7</v>
      </c>
      <c r="D20" s="34" t="inlineStr">
        <is>
          <t>오늘 배운 것 확인하기</t>
        </is>
      </c>
      <c r="E20" s="8" t="inlineStr">
        <is>
          <t>탐구·활동</t>
        </is>
      </c>
      <c r="F20" s="8" t="n">
        <v>2</v>
      </c>
    </row>
    <row r="21">
      <c r="A21" s="9" t="n"/>
      <c r="B21" s="10" t="n"/>
      <c r="C21" s="9" t="n"/>
      <c r="D21" s="10" t="inlineStr">
        <is>
          <t>2차시 소계</t>
        </is>
      </c>
      <c r="E21" s="9" t="n"/>
      <c r="F21" s="9">
        <f>SUM(F14:F20)</f>
        <v/>
      </c>
    </row>
    <row r="22">
      <c r="A22" s="8" t="n">
        <v>3</v>
      </c>
      <c r="B22" s="34" t="inlineStr">
        <is>
          <t>데이터로 최적 조건 찾기</t>
        </is>
      </c>
      <c r="C22" s="8" t="n">
        <v>1</v>
      </c>
      <c r="D22" s="34" t="inlineStr">
        <is>
          <t>🎯 표적 챌린지 — 감으로 맞혀 보기</t>
        </is>
      </c>
      <c r="E22" s="8" t="inlineStr">
        <is>
          <t>탐구·활동</t>
        </is>
      </c>
      <c r="F22" s="8" t="n">
        <v>10</v>
      </c>
    </row>
    <row r="23">
      <c r="A23" s="8" t="n">
        <v>3</v>
      </c>
      <c r="B23" s="35" t="n"/>
      <c r="C23" s="8" t="n">
        <v>2</v>
      </c>
      <c r="D23" s="34" t="inlineStr">
        <is>
          <t>컴퓨터는 몇 번 만에 맞힐까 — 이진 탐색</t>
        </is>
      </c>
      <c r="E23" s="8" t="inlineStr">
        <is>
          <t>탐구·활동</t>
        </is>
      </c>
      <c r="F23" s="8" t="n">
        <v>7</v>
      </c>
    </row>
    <row r="24">
      <c r="A24" s="8" t="n">
        <v>3</v>
      </c>
      <c r="B24" s="35" t="n"/>
      <c r="C24" s="8" t="n">
        <v>3</v>
      </c>
      <c r="D24" s="34" t="inlineStr">
        <is>
          <t>전수 탐색으로 데이터 모으기</t>
        </is>
      </c>
      <c r="E24" s="8" t="inlineStr">
        <is>
          <t>탐구·활동</t>
        </is>
      </c>
      <c r="F24" s="8" t="n">
        <v>12</v>
      </c>
    </row>
    <row r="25">
      <c r="A25" s="8" t="n">
        <v>3</v>
      </c>
      <c r="B25" s="35" t="n"/>
      <c r="C25" s="8" t="n">
        <v>4</v>
      </c>
      <c r="D25" s="34" t="inlineStr">
        <is>
          <t>그래프를 해석해 봅시다</t>
        </is>
      </c>
      <c r="E25" s="8" t="inlineStr">
        <is>
          <t>탐구·활동</t>
        </is>
      </c>
      <c r="F25" s="8" t="n">
        <v>5</v>
      </c>
    </row>
    <row r="26">
      <c r="A26" s="8" t="n">
        <v>3</v>
      </c>
      <c r="B26" s="35" t="n"/>
      <c r="C26" s="8" t="n">
        <v>5</v>
      </c>
      <c r="D26" s="34" t="inlineStr">
        <is>
          <t>1차시의 내 예측과 비교하기</t>
        </is>
      </c>
      <c r="E26" s="8" t="inlineStr">
        <is>
          <t>탐구·활동</t>
        </is>
      </c>
      <c r="F26" s="8" t="n">
        <v>5</v>
      </c>
    </row>
    <row r="27">
      <c r="A27" s="8" t="n">
        <v>3</v>
      </c>
      <c r="B27" s="35" t="n"/>
      <c r="C27" s="8" t="n">
        <v>6</v>
      </c>
      <c r="D27" s="34" t="inlineStr">
        <is>
          <t>결론 쓰기 — 왜 최적각이 낮아지는가</t>
        </is>
      </c>
      <c r="E27" s="8" t="inlineStr">
        <is>
          <t>탐구·활동</t>
        </is>
      </c>
      <c r="F27" s="8" t="n">
        <v>7</v>
      </c>
    </row>
    <row r="28">
      <c r="A28" s="8" t="n">
        <v>3</v>
      </c>
      <c r="B28" s="36" t="n"/>
      <c r="C28" s="8" t="n">
        <v>7</v>
      </c>
      <c r="D28" s="34" t="inlineStr">
        <is>
          <t>마무리 — 보고서 확인하고 제출하기</t>
        </is>
      </c>
      <c r="E28" s="8" t="inlineStr">
        <is>
          <t>탐구·활동</t>
        </is>
      </c>
      <c r="F28" s="8" t="n">
        <v>4</v>
      </c>
    </row>
    <row r="29">
      <c r="A29" s="9" t="n"/>
      <c r="B29" s="10" t="n"/>
      <c r="C29" s="9" t="n"/>
      <c r="D29" s="10" t="inlineStr">
        <is>
          <t>3차시 소계</t>
        </is>
      </c>
      <c r="E29" s="9" t="n"/>
      <c r="F29" s="9">
        <f>SUM(F22:F28)</f>
        <v/>
      </c>
    </row>
    <row r="30">
      <c r="A30" s="8" t="n">
        <v>4</v>
      </c>
      <c r="B30" s="34" t="inlineStr">
        <is>
          <t>실제로 던진 공과 비교하기</t>
        </is>
      </c>
      <c r="C30" s="8" t="n">
        <v>1</v>
      </c>
      <c r="D30" s="34" t="inlineStr">
        <is>
          <t>실측은 이렇게 합니다</t>
        </is>
      </c>
      <c r="E30" s="8" t="inlineStr">
        <is>
          <t>탐구·활동</t>
        </is>
      </c>
      <c r="F30" s="8" t="n">
        <v>6</v>
      </c>
    </row>
    <row r="31">
      <c r="A31" s="8" t="n">
        <v>4</v>
      </c>
      <c r="B31" s="35" t="n"/>
      <c r="C31" s="8" t="n">
        <v>2</v>
      </c>
      <c r="D31" s="34" t="inlineStr">
        <is>
          <t>측정 데이터 불러오기</t>
        </is>
      </c>
      <c r="E31" s="8" t="inlineStr">
        <is>
          <t>탐구·활동</t>
        </is>
      </c>
      <c r="F31" s="8" t="n">
        <v>8</v>
      </c>
    </row>
    <row r="32">
      <c r="A32" s="8" t="n">
        <v>4</v>
      </c>
      <c r="B32" s="35" t="n"/>
      <c r="C32" s="8" t="n">
        <v>3</v>
      </c>
      <c r="D32" s="34" t="inlineStr">
        <is>
          <t>교과서 공식은 실제와 맞을까</t>
        </is>
      </c>
      <c r="E32" s="8" t="inlineStr">
        <is>
          <t>탐구·활동</t>
        </is>
      </c>
      <c r="F32" s="8" t="n">
        <v>12</v>
      </c>
    </row>
    <row r="33">
      <c r="A33" s="8" t="n">
        <v>4</v>
      </c>
      <c r="B33" s="35" t="n"/>
      <c r="C33" s="8" t="n">
        <v>4</v>
      </c>
      <c r="D33" s="34" t="inlineStr">
        <is>
          <t>왜 뒤쪽에서 더 벗어날까</t>
        </is>
      </c>
      <c r="E33" s="8" t="inlineStr">
        <is>
          <t>탐구·활동</t>
        </is>
      </c>
      <c r="F33" s="8" t="n">
        <v>8</v>
      </c>
    </row>
    <row r="34">
      <c r="A34" s="8" t="n">
        <v>4</v>
      </c>
      <c r="B34" s="35" t="n"/>
      <c r="C34" s="8" t="n">
        <v>5</v>
      </c>
      <c r="D34" s="34" t="inlineStr">
        <is>
          <t>두 종류의 오차 구분하기</t>
        </is>
      </c>
      <c r="E34" s="8" t="inlineStr">
        <is>
          <t>탐구·활동</t>
        </is>
      </c>
      <c r="F34" s="8" t="n">
        <v>10</v>
      </c>
    </row>
    <row r="35">
      <c r="A35" s="8" t="n">
        <v>4</v>
      </c>
      <c r="B35" s="36" t="n"/>
      <c r="C35" s="8" t="n">
        <v>6</v>
      </c>
      <c r="D35" s="34" t="inlineStr">
        <is>
          <t>다음 시간을 위한 예측</t>
        </is>
      </c>
      <c r="E35" s="8" t="inlineStr">
        <is>
          <t>서술 작성</t>
        </is>
      </c>
      <c r="F35" s="8" t="n">
        <v>6</v>
      </c>
    </row>
    <row r="36">
      <c r="A36" s="9" t="n"/>
      <c r="B36" s="10" t="n"/>
      <c r="C36" s="9" t="n"/>
      <c r="D36" s="10" t="inlineStr">
        <is>
          <t>4차시 소계</t>
        </is>
      </c>
      <c r="E36" s="9" t="n"/>
      <c r="F36" s="9">
        <f>SUM(F30:F35)</f>
        <v/>
      </c>
    </row>
    <row r="37">
      <c r="A37" s="8" t="n">
        <v>5</v>
      </c>
      <c r="B37" s="34" t="inlineStr">
        <is>
          <t>실험에서 물리량 끌어내기 (저항계수 구하기)</t>
        </is>
      </c>
      <c r="C37" s="8" t="n">
        <v>1</v>
      </c>
      <c r="D37" s="34" t="inlineStr">
        <is>
          <t>공기저항력의 모형</t>
        </is>
      </c>
      <c r="E37" s="8" t="inlineStr">
        <is>
          <t>탐구·활동</t>
        </is>
      </c>
      <c r="F37" s="8" t="n">
        <v>6</v>
      </c>
    </row>
    <row r="38">
      <c r="A38" s="8" t="n">
        <v>5</v>
      </c>
      <c r="B38" s="35" t="n"/>
      <c r="C38" s="8" t="n">
        <v>2</v>
      </c>
      <c r="D38" s="34" t="inlineStr">
        <is>
          <t>손으로 맞춰보기 — k 찾기</t>
        </is>
      </c>
      <c r="E38" s="8" t="inlineStr">
        <is>
          <t>탐구·활동</t>
        </is>
      </c>
      <c r="F38" s="8" t="n">
        <v>10</v>
      </c>
    </row>
    <row r="39">
      <c r="A39" s="8" t="n">
        <v>5</v>
      </c>
      <c r="B39" s="35" t="n"/>
      <c r="C39" s="8" t="n">
        <v>3</v>
      </c>
      <c r="D39" s="34" t="inlineStr">
        <is>
          <t>컴퓨터에게 시키기 — 자동 피팅</t>
        </is>
      </c>
      <c r="E39" s="8" t="inlineStr">
        <is>
          <t>코딩 미션</t>
        </is>
      </c>
      <c r="F39" s="8" t="n">
        <v>12</v>
      </c>
    </row>
    <row r="40">
      <c r="A40" s="8" t="n">
        <v>5</v>
      </c>
      <c r="B40" s="35" t="n"/>
      <c r="C40" s="8" t="n">
        <v>4</v>
      </c>
      <c r="D40" s="34" t="inlineStr">
        <is>
          <t>찾아낸 k로 물리량 계산하기</t>
        </is>
      </c>
      <c r="E40" s="8" t="inlineStr">
        <is>
          <t>측정값 제출</t>
        </is>
      </c>
      <c r="F40" s="8" t="n">
        <v>8</v>
      </c>
    </row>
    <row r="41">
      <c r="A41" s="8" t="n">
        <v>5</v>
      </c>
      <c r="B41" s="35" t="n"/>
      <c r="C41" s="8" t="n">
        <v>5</v>
      </c>
      <c r="D41" s="34" t="inlineStr">
        <is>
          <t>모형 검증 — 다른 실험에도 통할까</t>
        </is>
      </c>
      <c r="E41" s="8" t="inlineStr">
        <is>
          <t>탐구·활동</t>
        </is>
      </c>
      <c r="F41" s="8" t="n">
        <v>8</v>
      </c>
    </row>
    <row r="42">
      <c r="A42" s="8" t="n">
        <v>5</v>
      </c>
      <c r="B42" s="36" t="n"/>
      <c r="C42" s="8" t="n">
        <v>6</v>
      </c>
      <c r="D42" s="34" t="inlineStr">
        <is>
          <t>실험물리의 방법 정리하기</t>
        </is>
      </c>
      <c r="E42" s="8" t="inlineStr">
        <is>
          <t>서술 작성</t>
        </is>
      </c>
      <c r="F42" s="8" t="n">
        <v>6</v>
      </c>
    </row>
    <row r="43">
      <c r="A43" s="9" t="n"/>
      <c r="B43" s="10" t="n"/>
      <c r="C43" s="9" t="n"/>
      <c r="D43" s="10" t="inlineStr">
        <is>
          <t>5차시 소계</t>
        </is>
      </c>
      <c r="E43" s="9" t="n"/>
      <c r="F43" s="9">
        <f>SUM(F37:F42)</f>
        <v/>
      </c>
    </row>
    <row r="44">
      <c r="A44" s="8" t="n">
        <v>6</v>
      </c>
      <c r="B44" s="34" t="inlineStr">
        <is>
          <t>같은 코드로 다른 운동을 — 힘만 바꾸면 된다</t>
        </is>
      </c>
      <c r="C44" s="8" t="n">
        <v>1</v>
      </c>
      <c r="D44" s="34" t="inlineStr">
        <is>
          <t>뉴턴 제2법칙은 하나뿐입니다</t>
        </is>
      </c>
      <c r="E44" s="8" t="inlineStr">
        <is>
          <t>탐구·활동</t>
        </is>
      </c>
      <c r="F44" s="8" t="n">
        <v>5</v>
      </c>
    </row>
    <row r="45">
      <c r="A45" s="8" t="n">
        <v>6</v>
      </c>
      <c r="B45" s="35" t="n"/>
      <c r="C45" s="8" t="n">
        <v>2</v>
      </c>
      <c r="D45" s="34" t="inlineStr">
        <is>
          <t>용수철에 매단 물체 — 단진동</t>
        </is>
      </c>
      <c r="E45" s="8" t="inlineStr">
        <is>
          <t>코딩 미션</t>
        </is>
      </c>
      <c r="F45" s="8" t="n">
        <v>12</v>
      </c>
    </row>
    <row r="46">
      <c r="A46" s="8" t="n">
        <v>6</v>
      </c>
      <c r="B46" s="35" t="n"/>
      <c r="C46" s="8" t="n">
        <v>3</v>
      </c>
      <c r="D46" s="34" t="inlineStr">
        <is>
          <t>질량을 4배로 하면 주기는?</t>
        </is>
      </c>
      <c r="E46" s="8" t="inlineStr">
        <is>
          <t>측정값 제출</t>
        </is>
      </c>
      <c r="F46" s="8" t="n">
        <v>8</v>
      </c>
    </row>
    <row r="47">
      <c r="A47" s="8" t="n">
        <v>6</v>
      </c>
      <c r="B47" s="35" t="n"/>
      <c r="C47" s="8" t="n">
        <v>4</v>
      </c>
      <c r="D47" s="34" t="inlineStr">
        <is>
          <t>행성의 궤도 — 만유인력</t>
        </is>
      </c>
      <c r="E47" s="8" t="inlineStr">
        <is>
          <t>코딩 미션</t>
        </is>
      </c>
      <c r="F47" s="8" t="n">
        <v>12</v>
      </c>
    </row>
    <row r="48">
      <c r="A48" s="8" t="n">
        <v>6</v>
      </c>
      <c r="B48" s="35" t="n"/>
      <c r="C48" s="8" t="n">
        <v>5</v>
      </c>
      <c r="D48" s="34" t="inlineStr">
        <is>
          <t>케플러 제2법칙이 저절로 나온다</t>
        </is>
      </c>
      <c r="E48" s="8" t="inlineStr">
        <is>
          <t>탐구·활동</t>
        </is>
      </c>
      <c r="F48" s="8" t="n">
        <v>8</v>
      </c>
    </row>
    <row r="49">
      <c r="A49" s="8" t="n">
        <v>6</v>
      </c>
      <c r="B49" s="36" t="n"/>
      <c r="C49" s="8" t="n">
        <v>6</v>
      </c>
      <c r="D49" s="34" t="inlineStr">
        <is>
          <t>오늘의 정리</t>
        </is>
      </c>
      <c r="E49" s="8" t="inlineStr">
        <is>
          <t>탐구·활동</t>
        </is>
      </c>
      <c r="F49" s="8" t="n">
        <v>5</v>
      </c>
    </row>
    <row r="50">
      <c r="A50" s="9" t="n"/>
      <c r="B50" s="10" t="n"/>
      <c r="C50" s="9" t="n"/>
      <c r="D50" s="10" t="inlineStr">
        <is>
          <t>6차시 소계</t>
        </is>
      </c>
      <c r="E50" s="9" t="n"/>
      <c r="F50" s="9">
        <f>SUM(F44:F49)</f>
        <v/>
      </c>
    </row>
    <row r="51">
      <c r="A51" s="8" t="n">
        <v>7</v>
      </c>
      <c r="B51" s="34" t="inlineStr">
        <is>
          <t>에너지로 계산을 검증하기</t>
        </is>
      </c>
      <c r="C51" s="8" t="n">
        <v>1</v>
      </c>
      <c r="D51" s="34" t="inlineStr">
        <is>
          <t>에너지는 감시자입니다</t>
        </is>
      </c>
      <c r="E51" s="8" t="inlineStr">
        <is>
          <t>탐구·활동</t>
        </is>
      </c>
      <c r="F51" s="8" t="n">
        <v>6</v>
      </c>
    </row>
    <row r="52">
      <c r="A52" s="8" t="n">
        <v>7</v>
      </c>
      <c r="B52" s="35" t="n"/>
      <c r="C52" s="8" t="n">
        <v>2</v>
      </c>
      <c r="D52" s="34" t="inlineStr">
        <is>
          <t>에너지를 계산하는 코드 쓰기</t>
        </is>
      </c>
      <c r="E52" s="8" t="inlineStr">
        <is>
          <t>코딩 미션</t>
        </is>
      </c>
      <c r="F52" s="8" t="n">
        <v>12</v>
      </c>
    </row>
    <row r="53">
      <c r="A53" s="8" t="n">
        <v>7</v>
      </c>
      <c r="B53" s="35" t="n"/>
      <c r="C53" s="8" t="n">
        <v>3</v>
      </c>
      <c r="D53" s="34" t="inlineStr">
        <is>
          <t>같은 물리, 다른 계산 — 오일러법의 배신</t>
        </is>
      </c>
      <c r="E53" s="8" t="inlineStr">
        <is>
          <t>탐구·활동</t>
        </is>
      </c>
      <c r="F53" s="8" t="n">
        <v>10</v>
      </c>
    </row>
    <row r="54">
      <c r="A54" s="8" t="n">
        <v>7</v>
      </c>
      <c r="B54" s="35" t="n"/>
      <c r="C54" s="8" t="n">
        <v>4</v>
      </c>
      <c r="D54" s="34" t="inlineStr">
        <is>
          <t>Δt를 줄이면 가짜 에너지도 줄어들까</t>
        </is>
      </c>
      <c r="E54" s="8" t="inlineStr">
        <is>
          <t>측정값 제출</t>
        </is>
      </c>
      <c r="F54" s="8" t="n">
        <v>8</v>
      </c>
    </row>
    <row r="55">
      <c r="A55" s="8" t="n">
        <v>7</v>
      </c>
      <c r="B55" s="35" t="n"/>
      <c r="C55" s="8" t="n">
        <v>5</v>
      </c>
      <c r="D55" s="34" t="inlineStr">
        <is>
          <t>공기저항이 앗아간 에너지</t>
        </is>
      </c>
      <c r="E55" s="8" t="inlineStr">
        <is>
          <t>측정값 제출</t>
        </is>
      </c>
      <c r="F55" s="8" t="n">
        <v>8</v>
      </c>
    </row>
    <row r="56">
      <c r="A56" s="8" t="n">
        <v>7</v>
      </c>
      <c r="B56" s="36" t="n"/>
      <c r="C56" s="8" t="n">
        <v>6</v>
      </c>
      <c r="D56" s="34" t="inlineStr">
        <is>
          <t>오늘의 정리</t>
        </is>
      </c>
      <c r="E56" s="8" t="inlineStr">
        <is>
          <t>탐구·활동</t>
        </is>
      </c>
      <c r="F56" s="8" t="n">
        <v>6</v>
      </c>
    </row>
    <row r="57">
      <c r="A57" s="9" t="n"/>
      <c r="B57" s="10" t="n"/>
      <c r="C57" s="9" t="n"/>
      <c r="D57" s="10" t="inlineStr">
        <is>
          <t>7차시 소계</t>
        </is>
      </c>
      <c r="E57" s="9" t="n"/>
      <c r="F57" s="9">
        <f>SUM(F51:F56)</f>
        <v/>
      </c>
    </row>
    <row r="58">
      <c r="A58" s="8" t="n">
        <v>8</v>
      </c>
      <c r="B58" s="34" t="inlineStr">
        <is>
          <t>나만의 탐구와 발표</t>
        </is>
      </c>
      <c r="C58" s="8" t="n">
        <v>1</v>
      </c>
      <c r="D58" s="34" t="inlineStr">
        <is>
          <t>지금까지 온 길</t>
        </is>
      </c>
      <c r="E58" s="8" t="inlineStr">
        <is>
          <t>탐구·활동</t>
        </is>
      </c>
      <c r="F58" s="8" t="n">
        <v>5</v>
      </c>
    </row>
    <row r="59">
      <c r="A59" s="8" t="n">
        <v>8</v>
      </c>
      <c r="B59" s="35" t="n"/>
      <c r="C59" s="8" t="n">
        <v>2</v>
      </c>
      <c r="D59" s="34" t="inlineStr">
        <is>
          <t>탐구 주제 정하기</t>
        </is>
      </c>
      <c r="E59" s="8" t="inlineStr">
        <is>
          <t>탐구·활동</t>
        </is>
      </c>
      <c r="F59" s="8" t="n">
        <v>10</v>
      </c>
    </row>
    <row r="60">
      <c r="A60" s="8" t="n">
        <v>8</v>
      </c>
      <c r="B60" s="35" t="n"/>
      <c r="C60" s="8" t="n">
        <v>3</v>
      </c>
      <c r="D60" s="34" t="inlineStr">
        <is>
          <t>자유 실험실 — 직접 탐구하기</t>
        </is>
      </c>
      <c r="E60" s="8" t="inlineStr">
        <is>
          <t>탐구·활동</t>
        </is>
      </c>
      <c r="F60" s="8" t="n">
        <v>15</v>
      </c>
    </row>
    <row r="61">
      <c r="A61" s="8" t="n">
        <v>8</v>
      </c>
      <c r="B61" s="35" t="n"/>
      <c r="C61" s="8" t="n">
        <v>4</v>
      </c>
      <c r="D61" s="34" t="inlineStr">
        <is>
          <t>탐구 결론 쓰기</t>
        </is>
      </c>
      <c r="E61" s="8" t="inlineStr">
        <is>
          <t>서술 작성</t>
        </is>
      </c>
      <c r="F61" s="8" t="n">
        <v>10</v>
      </c>
    </row>
    <row r="62">
      <c r="A62" s="8" t="n">
        <v>8</v>
      </c>
      <c r="B62" s="35" t="n"/>
      <c r="C62" s="8" t="n">
        <v>5</v>
      </c>
      <c r="D62" s="34" t="inlineStr">
        <is>
          <t>발표 준비</t>
        </is>
      </c>
      <c r="E62" s="8" t="inlineStr">
        <is>
          <t>탐구·활동</t>
        </is>
      </c>
      <c r="F62" s="8" t="n">
        <v>5</v>
      </c>
    </row>
    <row r="63">
      <c r="A63" s="8" t="n">
        <v>8</v>
      </c>
      <c r="B63" s="36" t="n"/>
      <c r="C63" s="8" t="n">
        <v>6</v>
      </c>
      <c r="D63" s="34" t="inlineStr">
        <is>
          <t>8차시를 마치며</t>
        </is>
      </c>
      <c r="E63" s="8" t="inlineStr">
        <is>
          <t>서술 작성</t>
        </is>
      </c>
      <c r="F63" s="8" t="n">
        <v>5</v>
      </c>
    </row>
    <row r="64">
      <c r="A64" s="9" t="n"/>
      <c r="B64" s="10" t="n"/>
      <c r="C64" s="9" t="n"/>
      <c r="D64" s="10" t="inlineStr">
        <is>
          <t>8차시 소계</t>
        </is>
      </c>
      <c r="E64" s="9" t="n"/>
      <c r="F64" s="9">
        <f>SUM(F58:F63)</f>
        <v/>
      </c>
    </row>
    <row r="65">
      <c r="A65" s="11" t="n"/>
      <c r="B65" s="12" t="n"/>
      <c r="C65" s="11" t="n"/>
      <c r="D65" s="12" t="inlineStr">
        <is>
          <t>전체 합계</t>
        </is>
      </c>
      <c r="E65" s="11" t="n"/>
      <c r="F65" s="11">
        <f>SUMIF($D$5:$D64,"*소계",$F$5:$F64)</f>
        <v/>
      </c>
    </row>
  </sheetData>
  <mergeCells count="10">
    <mergeCell ref="B37:B42"/>
    <mergeCell ref="A2:F2"/>
    <mergeCell ref="B51:B56"/>
    <mergeCell ref="B58:B63"/>
    <mergeCell ref="B22:B28"/>
    <mergeCell ref="B30:B35"/>
    <mergeCell ref="B44:B49"/>
    <mergeCell ref="A1:F1"/>
    <mergeCell ref="B14:B20"/>
    <mergeCell ref="B5:B1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7.4"/>
  <cols>
    <col width="7" customWidth="1" style="30" min="1" max="1"/>
    <col width="30" customWidth="1" style="30" min="2" max="2"/>
    <col width="7" customWidth="1" style="30" min="3" max="3"/>
    <col width="46" customWidth="1" style="30" min="4" max="4"/>
    <col width="13" customWidth="1" style="30" min="5" max="5"/>
    <col width="10" customWidth="1" style="30" min="6" max="6"/>
  </cols>
  <sheetData>
    <row r="1" ht="24" customHeight="1" s="30">
      <c r="A1" s="32" t="inlineStr">
        <is>
          <t>정보 중심 과정 — 차시별 지도안</t>
        </is>
      </c>
    </row>
    <row r="2">
      <c r="A2" s="29" t="inlineStr">
        <is>
          <t>과목 「정보」 주(主) · 물리(역학과 에너지)는 문제 상황 | 각 차시 합계 50분 (소계는 수식으로 자동 계산)</t>
        </is>
      </c>
    </row>
    <row r="4" ht="28.05" customHeight="1" s="30">
      <c r="A4" s="2" t="inlineStr">
        <is>
          <t>차시</t>
        </is>
      </c>
      <c r="B4" s="2" t="inlineStr">
        <is>
          <t>차시 주제</t>
        </is>
      </c>
      <c r="C4" s="2" t="inlineStr">
        <is>
          <t>단계</t>
        </is>
      </c>
      <c r="D4" s="2" t="inlineStr">
        <is>
          <t>단계 활동명</t>
        </is>
      </c>
      <c r="E4" s="2" t="inlineStr">
        <is>
          <t>단계 유형</t>
        </is>
      </c>
      <c r="F4" s="2" t="inlineStr">
        <is>
          <t>시간(분)</t>
        </is>
      </c>
    </row>
    <row r="5">
      <c r="A5" s="8" t="n">
        <v>1</v>
      </c>
      <c r="B5" s="34" t="inlineStr">
        <is>
          <t>문제 분해와 추상화 — 현실을 계산 가능한 형태로</t>
        </is>
      </c>
      <c r="C5" s="8" t="n">
        <v>1</v>
      </c>
      <c r="D5" s="34" t="inlineStr">
        <is>
          <t>프로그래머가 받는 것은 "요구사항"입니다</t>
        </is>
      </c>
      <c r="E5" s="8" t="inlineStr">
        <is>
          <t>탐구·활동</t>
        </is>
      </c>
      <c r="F5" s="8" t="n">
        <v>6</v>
      </c>
    </row>
    <row r="6">
      <c r="A6" s="8" t="n">
        <v>1</v>
      </c>
      <c r="B6" s="35" t="n"/>
      <c r="C6" s="8" t="n">
        <v>2</v>
      </c>
      <c r="D6" s="34" t="inlineStr">
        <is>
          <t>변수 분류하기 — 입력 / 상태 / 출력</t>
        </is>
      </c>
      <c r="E6" s="8" t="inlineStr">
        <is>
          <t>탐구·활동</t>
        </is>
      </c>
      <c r="F6" s="8" t="n">
        <v>12</v>
      </c>
    </row>
    <row r="7">
      <c r="A7" s="8" t="n">
        <v>1</v>
      </c>
      <c r="B7" s="35" t="n"/>
      <c r="C7" s="8" t="n">
        <v>3</v>
      </c>
      <c r="D7" s="34" t="inlineStr">
        <is>
          <t>의사코드 설계하기</t>
        </is>
      </c>
      <c r="E7" s="8" t="inlineStr">
        <is>
          <t>탐구·활동</t>
        </is>
      </c>
      <c r="F7" s="8" t="n">
        <v>12</v>
      </c>
    </row>
    <row r="8">
      <c r="A8" s="8" t="n">
        <v>1</v>
      </c>
      <c r="B8" s="35" t="n"/>
      <c r="C8" s="8" t="n">
        <v>4</v>
      </c>
      <c r="D8" s="34" t="inlineStr">
        <is>
          <t>종료 조건을 설계하라 — 무한 루프 막기</t>
        </is>
      </c>
      <c r="E8" s="8" t="inlineStr">
        <is>
          <t>탐구·활동</t>
        </is>
      </c>
      <c r="F8" s="8" t="n">
        <v>10</v>
      </c>
    </row>
    <row r="9">
      <c r="A9" s="8" t="n">
        <v>1</v>
      </c>
      <c r="B9" s="36" t="n"/>
      <c r="C9" s="8" t="n">
        <v>5</v>
      </c>
      <c r="D9" s="34" t="inlineStr">
        <is>
          <t>추상화 — 무엇을 버릴 것인가</t>
        </is>
      </c>
      <c r="E9" s="8" t="inlineStr">
        <is>
          <t>서술 작성</t>
        </is>
      </c>
      <c r="F9" s="8" t="n">
        <v>10</v>
      </c>
    </row>
    <row r="10">
      <c r="A10" s="9" t="n"/>
      <c r="B10" s="10" t="n"/>
      <c r="C10" s="9" t="n"/>
      <c r="D10" s="10" t="inlineStr">
        <is>
          <t>1차시 소계</t>
        </is>
      </c>
      <c r="E10" s="9" t="n"/>
      <c r="F10" s="9">
        <f>SUM(F5:F9)</f>
        <v/>
      </c>
    </row>
    <row r="11">
      <c r="A11" s="8" t="n">
        <v>2</v>
      </c>
      <c r="B11" s="34" t="inlineStr">
        <is>
          <t>제어 구조와 자료구조로 구현하기</t>
        </is>
      </c>
      <c r="C11" s="8" t="n">
        <v>1</v>
      </c>
      <c r="D11" s="34" t="inlineStr">
        <is>
          <t>설계를 코드로 옮기는 규칙</t>
        </is>
      </c>
      <c r="E11" s="8" t="inlineStr">
        <is>
          <t>탐구·활동</t>
        </is>
      </c>
      <c r="F11" s="8" t="n">
        <v>5</v>
      </c>
    </row>
    <row r="12">
      <c r="A12" s="8" t="n">
        <v>2</v>
      </c>
      <c r="B12" s="35" t="n"/>
      <c r="C12" s="8" t="n">
        <v>2</v>
      </c>
      <c r="D12" s="34" t="inlineStr">
        <is>
          <t>반복문과 상태 갱신 구현하기</t>
        </is>
      </c>
      <c r="E12" s="8" t="inlineStr">
        <is>
          <t>코딩 미션</t>
        </is>
      </c>
      <c r="F12" s="8" t="n">
        <v>13</v>
      </c>
    </row>
    <row r="13">
      <c r="A13" s="8" t="n">
        <v>2</v>
      </c>
      <c r="B13" s="35" t="n"/>
      <c r="C13" s="8" t="n">
        <v>3</v>
      </c>
      <c r="D13" s="34" t="inlineStr">
        <is>
          <t>배열을 순회해 통계 내기</t>
        </is>
      </c>
      <c r="E13" s="8" t="inlineStr">
        <is>
          <t>코딩 미션</t>
        </is>
      </c>
      <c r="F13" s="8" t="n">
        <v>12</v>
      </c>
    </row>
    <row r="14">
      <c r="A14" s="8" t="n">
        <v>2</v>
      </c>
      <c r="B14" s="35" t="n"/>
      <c r="C14" s="8" t="n">
        <v>4</v>
      </c>
      <c r="D14" s="34" t="inlineStr">
        <is>
          <t>while 과 for — 어느 것을 쓸까</t>
        </is>
      </c>
      <c r="E14" s="8" t="inlineStr">
        <is>
          <t>탐구·활동</t>
        </is>
      </c>
      <c r="F14" s="8" t="n">
        <v>12</v>
      </c>
    </row>
    <row r="15">
      <c r="A15" s="8" t="n">
        <v>2</v>
      </c>
      <c r="B15" s="36" t="n"/>
      <c r="C15" s="8" t="n">
        <v>5</v>
      </c>
      <c r="D15" s="34" t="inlineStr">
        <is>
          <t>오늘 만든 코드를 말로 설명하기</t>
        </is>
      </c>
      <c r="E15" s="8" t="inlineStr">
        <is>
          <t>서술 작성</t>
        </is>
      </c>
      <c r="F15" s="8" t="n">
        <v>8</v>
      </c>
    </row>
    <row r="16">
      <c r="A16" s="9" t="n"/>
      <c r="B16" s="10" t="n"/>
      <c r="C16" s="9" t="n"/>
      <c r="D16" s="10" t="inlineStr">
        <is>
          <t>2차시 소계</t>
        </is>
      </c>
      <c r="E16" s="9" t="n"/>
      <c r="F16" s="9">
        <f>SUM(F11:F15)</f>
        <v/>
      </c>
    </row>
    <row r="17">
      <c r="A17" s="8" t="n">
        <v>3</v>
      </c>
      <c r="B17" s="34" t="inlineStr">
        <is>
          <t>디버깅과 테스트 — 틀린 코드를 찾아내는 기술</t>
        </is>
      </c>
      <c r="C17" s="8" t="n">
        <v>1</v>
      </c>
      <c r="D17" s="34" t="inlineStr">
        <is>
          <t>버그는 실패가 아니라 일과입니다</t>
        </is>
      </c>
      <c r="E17" s="8" t="inlineStr">
        <is>
          <t>탐구·활동</t>
        </is>
      </c>
      <c r="F17" s="8" t="n">
        <v>6</v>
      </c>
    </row>
    <row r="18">
      <c r="A18" s="8" t="n">
        <v>3</v>
      </c>
      <c r="B18" s="35" t="n"/>
      <c r="C18" s="8" t="n">
        <v>2</v>
      </c>
      <c r="D18" s="34" t="inlineStr">
        <is>
          <t>🔧 디버깅 트랙 — 세 개의 버그</t>
        </is>
      </c>
      <c r="E18" s="8" t="inlineStr">
        <is>
          <t>탐구·활동</t>
        </is>
      </c>
      <c r="F18" s="8" t="n">
        <v>20</v>
      </c>
    </row>
    <row r="19">
      <c r="A19" s="8" t="n">
        <v>3</v>
      </c>
      <c r="B19" s="35" t="n"/>
      <c r="C19" s="8" t="n">
        <v>3</v>
      </c>
      <c r="D19" s="34" t="inlineStr">
        <is>
          <t>테스트 케이스 설계하기</t>
        </is>
      </c>
      <c r="E19" s="8" t="inlineStr">
        <is>
          <t>탐구·활동</t>
        </is>
      </c>
      <c r="F19" s="8" t="n">
        <v>12</v>
      </c>
    </row>
    <row r="20">
      <c r="A20" s="8" t="n">
        <v>3</v>
      </c>
      <c r="B20" s="36" t="n"/>
      <c r="C20" s="8" t="n">
        <v>4</v>
      </c>
      <c r="D20" s="34" t="inlineStr">
        <is>
          <t>버그 리포트 작성하기</t>
        </is>
      </c>
      <c r="E20" s="8" t="inlineStr">
        <is>
          <t>서술 작성</t>
        </is>
      </c>
      <c r="F20" s="8" t="n">
        <v>12</v>
      </c>
    </row>
    <row r="21">
      <c r="A21" s="9" t="n"/>
      <c r="B21" s="10" t="n"/>
      <c r="C21" s="9" t="n"/>
      <c r="D21" s="10" t="inlineStr">
        <is>
          <t>3차시 소계</t>
        </is>
      </c>
      <c r="E21" s="9" t="n"/>
      <c r="F21" s="9">
        <f>SUM(F17:F20)</f>
        <v/>
      </c>
    </row>
    <row r="22">
      <c r="A22" s="8" t="n">
        <v>4</v>
      </c>
      <c r="B22" s="34" t="inlineStr">
        <is>
          <t>자료 처리 — 외부 데이터를 읽고, 다루고, 보여주기</t>
        </is>
      </c>
      <c r="C22" s="8" t="n">
        <v>1</v>
      </c>
      <c r="D22" s="34" t="inlineStr">
        <is>
          <t>프로그램은 데이터를 먹고 삽니다</t>
        </is>
      </c>
      <c r="E22" s="8" t="inlineStr">
        <is>
          <t>탐구·활동</t>
        </is>
      </c>
      <c r="F22" s="8" t="n">
        <v>6</v>
      </c>
    </row>
    <row r="23">
      <c r="A23" s="8" t="n">
        <v>4</v>
      </c>
      <c r="B23" s="35" t="n"/>
      <c r="C23" s="8" t="n">
        <v>2</v>
      </c>
      <c r="D23" s="34" t="inlineStr">
        <is>
          <t>데이터 불러오기</t>
        </is>
      </c>
      <c r="E23" s="8" t="inlineStr">
        <is>
          <t>탐구·활동</t>
        </is>
      </c>
      <c r="F23" s="8" t="n">
        <v>8</v>
      </c>
    </row>
    <row r="24">
      <c r="A24" s="8" t="n">
        <v>4</v>
      </c>
      <c r="B24" s="35" t="n"/>
      <c r="C24" s="8" t="n">
        <v>3</v>
      </c>
      <c r="D24" s="34" t="inlineStr">
        <is>
          <t>문자열 파싱 함수 만들기</t>
        </is>
      </c>
      <c r="E24" s="8" t="inlineStr">
        <is>
          <t>코딩 미션</t>
        </is>
      </c>
      <c r="F24" s="8" t="n">
        <v>14</v>
      </c>
    </row>
    <row r="25">
      <c r="A25" s="8" t="n">
        <v>4</v>
      </c>
      <c r="B25" s="35" t="n"/>
      <c r="C25" s="8" t="n">
        <v>4</v>
      </c>
      <c r="D25" s="34" t="inlineStr">
        <is>
          <t>통계 함수 만들기 — 평균·최대·오차</t>
        </is>
      </c>
      <c r="E25" s="8" t="inlineStr">
        <is>
          <t>코딩 미션</t>
        </is>
      </c>
      <c r="F25" s="8" t="n">
        <v>14</v>
      </c>
    </row>
    <row r="26">
      <c r="A26" s="8" t="n">
        <v>4</v>
      </c>
      <c r="B26" s="36" t="n"/>
      <c r="C26" s="8" t="n">
        <v>5</v>
      </c>
      <c r="D26" s="34" t="inlineStr">
        <is>
          <t>수치를 그림으로 — 시각화가 하는 일</t>
        </is>
      </c>
      <c r="E26" s="8" t="inlineStr">
        <is>
          <t>탐구·활동</t>
        </is>
      </c>
      <c r="F26" s="8" t="n">
        <v>8</v>
      </c>
    </row>
    <row r="27">
      <c r="A27" s="9" t="n"/>
      <c r="B27" s="10" t="n"/>
      <c r="C27" s="9" t="n"/>
      <c r="D27" s="10" t="inlineStr">
        <is>
          <t>4차시 소계</t>
        </is>
      </c>
      <c r="E27" s="9" t="n"/>
      <c r="F27" s="9">
        <f>SUM(F22:F26)</f>
        <v/>
      </c>
    </row>
    <row r="28">
      <c r="A28" s="8" t="n">
        <v>5</v>
      </c>
      <c r="B28" s="34" t="inlineStr">
        <is>
          <t>탐색 알고리즘과 계산 복잡도</t>
        </is>
      </c>
      <c r="C28" s="8" t="n">
        <v>1</v>
      </c>
      <c r="D28" s="34" t="inlineStr">
        <is>
          <t>표적 맞히기 — 사람은 어떻게 찾는가</t>
        </is>
      </c>
      <c r="E28" s="8" t="inlineStr">
        <is>
          <t>탐구·활동</t>
        </is>
      </c>
      <c r="F28" s="8" t="n">
        <v>10</v>
      </c>
    </row>
    <row r="29">
      <c r="A29" s="8" t="n">
        <v>5</v>
      </c>
      <c r="B29" s="35" t="n"/>
      <c r="C29" s="8" t="n">
        <v>2</v>
      </c>
      <c r="D29" s="34" t="inlineStr">
        <is>
          <t>전수 탐색 구현하기</t>
        </is>
      </c>
      <c r="E29" s="8" t="inlineStr">
        <is>
          <t>코딩 미션</t>
        </is>
      </c>
      <c r="F29" s="8" t="n">
        <v>14</v>
      </c>
    </row>
    <row r="30">
      <c r="A30" s="8" t="n">
        <v>5</v>
      </c>
      <c r="B30" s="35" t="n"/>
      <c r="C30" s="8" t="n">
        <v>3</v>
      </c>
      <c r="D30" s="34" t="inlineStr">
        <is>
          <t>이진 탐색 구현하기</t>
        </is>
      </c>
      <c r="E30" s="8" t="inlineStr">
        <is>
          <t>코딩 미션</t>
        </is>
      </c>
      <c r="F30" s="8" t="n">
        <v>14</v>
      </c>
    </row>
    <row r="31">
      <c r="A31" s="8" t="n">
        <v>5</v>
      </c>
      <c r="B31" s="36" t="n"/>
      <c r="C31" s="8" t="n">
        <v>4</v>
      </c>
      <c r="D31" s="34" t="inlineStr">
        <is>
          <t>복잡도 — 얼마나 빨리 느려지는가</t>
        </is>
      </c>
      <c r="E31" s="8" t="inlineStr">
        <is>
          <t>탐구·활동</t>
        </is>
      </c>
      <c r="F31" s="8" t="n">
        <v>12</v>
      </c>
    </row>
    <row r="32">
      <c r="A32" s="9" t="n"/>
      <c r="B32" s="10" t="n"/>
      <c r="C32" s="9" t="n"/>
      <c r="D32" s="10" t="inlineStr">
        <is>
          <t>5차시 소계</t>
        </is>
      </c>
      <c r="E32" s="9" t="n"/>
      <c r="F32" s="9">
        <f>SUM(F28:F31)</f>
        <v/>
      </c>
    </row>
    <row r="33">
      <c r="A33" s="8" t="n">
        <v>6</v>
      </c>
      <c r="B33" s="34" t="inlineStr">
        <is>
          <t>최적화 — 데이터에 가장 잘 맞는 값 찾기</t>
        </is>
      </c>
      <c r="C33" s="8" t="n">
        <v>1</v>
      </c>
      <c r="D33" s="34" t="inlineStr">
        <is>
          <t>이번엔 답을 모릅니다</t>
        </is>
      </c>
      <c r="E33" s="8" t="inlineStr">
        <is>
          <t>탐구·활동</t>
        </is>
      </c>
      <c r="F33" s="8" t="n">
        <v>6</v>
      </c>
    </row>
    <row r="34">
      <c r="A34" s="8" t="n">
        <v>6</v>
      </c>
      <c r="B34" s="35" t="n"/>
      <c r="C34" s="8" t="n">
        <v>2</v>
      </c>
      <c r="D34" s="34" t="inlineStr">
        <is>
          <t>① 사람이 직접 찾아보기</t>
        </is>
      </c>
      <c r="E34" s="8" t="inlineStr">
        <is>
          <t>탐구·활동</t>
        </is>
      </c>
      <c r="F34" s="8" t="n">
        <v>8</v>
      </c>
    </row>
    <row r="35">
      <c r="A35" s="8" t="n">
        <v>6</v>
      </c>
      <c r="B35" s="35" t="n"/>
      <c r="C35" s="8" t="n">
        <v>3</v>
      </c>
      <c r="D35" s="34" t="inlineStr">
        <is>
          <t>② 격자 탐색 구현하기</t>
        </is>
      </c>
      <c r="E35" s="8" t="inlineStr">
        <is>
          <t>코딩 미션</t>
        </is>
      </c>
      <c r="F35" s="8" t="n">
        <v>14</v>
      </c>
    </row>
    <row r="36">
      <c r="A36" s="8" t="n">
        <v>6</v>
      </c>
      <c r="B36" s="35" t="n"/>
      <c r="C36" s="8" t="n">
        <v>4</v>
      </c>
      <c r="D36" s="34" t="inlineStr">
        <is>
          <t>③ 삼분 탐색 — 더 적은 계산으로</t>
        </is>
      </c>
      <c r="E36" s="8" t="inlineStr">
        <is>
          <t>탐구·활동</t>
        </is>
      </c>
      <c r="F36" s="8" t="n">
        <v>12</v>
      </c>
    </row>
    <row r="37">
      <c r="A37" s="8" t="n">
        <v>6</v>
      </c>
      <c r="B37" s="36" t="n"/>
      <c r="C37" s="8" t="n">
        <v>5</v>
      </c>
      <c r="D37" s="34" t="inlineStr">
        <is>
          <t>세 방법 비교 보고서</t>
        </is>
      </c>
      <c r="E37" s="8" t="inlineStr">
        <is>
          <t>서술 작성</t>
        </is>
      </c>
      <c r="F37" s="8" t="n">
        <v>10</v>
      </c>
    </row>
    <row r="38">
      <c r="A38" s="9" t="n"/>
      <c r="B38" s="10" t="n"/>
      <c r="C38" s="9" t="n"/>
      <c r="D38" s="10" t="inlineStr">
        <is>
          <t>6차시 소계</t>
        </is>
      </c>
      <c r="E38" s="9" t="n"/>
      <c r="F38" s="9">
        <f>SUM(F33:F37)</f>
        <v/>
      </c>
    </row>
    <row r="39">
      <c r="A39" s="8" t="n">
        <v>7</v>
      </c>
      <c r="B39" s="34" t="inlineStr">
        <is>
          <t>함수와 모듈화 — 한 번 만들어 여러 곳에 쓰기</t>
        </is>
      </c>
      <c r="C39" s="8" t="n">
        <v>1</v>
      </c>
      <c r="D39" s="34" t="inlineStr">
        <is>
          <t>복사·붙여넣기의 대가</t>
        </is>
      </c>
      <c r="E39" s="8" t="inlineStr">
        <is>
          <t>탐구·활동</t>
        </is>
      </c>
      <c r="F39" s="8" t="n">
        <v>8</v>
      </c>
    </row>
    <row r="40">
      <c r="A40" s="8" t="n">
        <v>7</v>
      </c>
      <c r="B40" s="35" t="n"/>
      <c r="C40" s="8" t="n">
        <v>2</v>
      </c>
      <c r="D40" s="34" t="inlineStr">
        <is>
          <t>범용 시뮬레이션 엔진 만들기</t>
        </is>
      </c>
      <c r="E40" s="8" t="inlineStr">
        <is>
          <t>코딩 미션</t>
        </is>
      </c>
      <c r="F40" s="8" t="n">
        <v>16</v>
      </c>
    </row>
    <row r="41">
      <c r="A41" s="8" t="n">
        <v>7</v>
      </c>
      <c r="B41" s="35" t="n"/>
      <c r="C41" s="8" t="n">
        <v>3</v>
      </c>
      <c r="D41" s="34" t="inlineStr">
        <is>
          <t>같은 엔진에 힘을 갈아 끼우기</t>
        </is>
      </c>
      <c r="E41" s="8" t="inlineStr">
        <is>
          <t>탐구·활동</t>
        </is>
      </c>
      <c r="F41" s="8" t="n">
        <v>14</v>
      </c>
    </row>
    <row r="42">
      <c r="A42" s="8" t="n">
        <v>7</v>
      </c>
      <c r="B42" s="36" t="n"/>
      <c r="C42" s="8" t="n">
        <v>4</v>
      </c>
      <c r="D42" s="34" t="inlineStr">
        <is>
          <t>좋은 함수의 조건</t>
        </is>
      </c>
      <c r="E42" s="8" t="inlineStr">
        <is>
          <t>탐구·활동</t>
        </is>
      </c>
      <c r="F42" s="8" t="n">
        <v>12</v>
      </c>
    </row>
    <row r="43">
      <c r="A43" s="9" t="n"/>
      <c r="B43" s="10" t="n"/>
      <c r="C43" s="9" t="n"/>
      <c r="D43" s="10" t="inlineStr">
        <is>
          <t>7차시 소계</t>
        </is>
      </c>
      <c r="E43" s="9" t="n"/>
      <c r="F43" s="9">
        <f>SUM(F39:F42)</f>
        <v/>
      </c>
    </row>
    <row r="44">
      <c r="A44" s="8" t="n">
        <v>8</v>
      </c>
      <c r="B44" s="34" t="inlineStr">
        <is>
          <t>프로젝트 — 설계·구현·검증·발표</t>
        </is>
      </c>
      <c r="C44" s="8" t="n">
        <v>1</v>
      </c>
      <c r="D44" s="34" t="inlineStr">
        <is>
          <t>지금까지 배운 것</t>
        </is>
      </c>
      <c r="E44" s="8" t="inlineStr">
        <is>
          <t>탐구·활동</t>
        </is>
      </c>
      <c r="F44" s="8" t="n">
        <v>5</v>
      </c>
    </row>
    <row r="45">
      <c r="A45" s="8" t="n">
        <v>8</v>
      </c>
      <c r="B45" s="35" t="n"/>
      <c r="C45" s="8" t="n">
        <v>2</v>
      </c>
      <c r="D45" s="34" t="inlineStr">
        <is>
          <t>프로젝트 주제 정하기</t>
        </is>
      </c>
      <c r="E45" s="8" t="inlineStr">
        <is>
          <t>탐구·활동</t>
        </is>
      </c>
      <c r="F45" s="8" t="n">
        <v>10</v>
      </c>
    </row>
    <row r="46">
      <c r="A46" s="8" t="n">
        <v>8</v>
      </c>
      <c r="B46" s="35" t="n"/>
      <c r="C46" s="8" t="n">
        <v>3</v>
      </c>
      <c r="D46" s="34" t="inlineStr">
        <is>
          <t>자유 코딩 — 프로젝트 구현</t>
        </is>
      </c>
      <c r="E46" s="8" t="inlineStr">
        <is>
          <t>탐구·활동</t>
        </is>
      </c>
      <c r="F46" s="8" t="n">
        <v>18</v>
      </c>
    </row>
    <row r="47">
      <c r="A47" s="8" t="n">
        <v>8</v>
      </c>
      <c r="B47" s="35" t="n"/>
      <c r="C47" s="8" t="n">
        <v>4</v>
      </c>
      <c r="D47" s="34" t="inlineStr">
        <is>
          <t>코드 리뷰 체크리스트</t>
        </is>
      </c>
      <c r="E47" s="8" t="inlineStr">
        <is>
          <t>탐구·활동</t>
        </is>
      </c>
      <c r="F47" s="8" t="n">
        <v>7</v>
      </c>
    </row>
    <row r="48">
      <c r="A48" s="8" t="n">
        <v>8</v>
      </c>
      <c r="B48" s="36" t="n"/>
      <c r="C48" s="8" t="n">
        <v>5</v>
      </c>
      <c r="D48" s="34" t="inlineStr">
        <is>
          <t>프로젝트 보고서</t>
        </is>
      </c>
      <c r="E48" s="8" t="inlineStr">
        <is>
          <t>서술 작성</t>
        </is>
      </c>
      <c r="F48" s="8" t="n">
        <v>10</v>
      </c>
    </row>
    <row r="49">
      <c r="A49" s="9" t="n"/>
      <c r="B49" s="10" t="n"/>
      <c r="C49" s="9" t="n"/>
      <c r="D49" s="10" t="inlineStr">
        <is>
          <t>8차시 소계</t>
        </is>
      </c>
      <c r="E49" s="9" t="n"/>
      <c r="F49" s="9">
        <f>SUM(F44:F48)</f>
        <v/>
      </c>
    </row>
    <row r="50">
      <c r="A50" s="11" t="n"/>
      <c r="B50" s="12" t="n"/>
      <c r="C50" s="11" t="n"/>
      <c r="D50" s="12" t="inlineStr">
        <is>
          <t>전체 합계</t>
        </is>
      </c>
      <c r="E50" s="11" t="n"/>
      <c r="F50" s="11">
        <f>SUMIF($D$5:$D49,"*소계",$F$5:$F49)</f>
        <v/>
      </c>
    </row>
  </sheetData>
  <mergeCells count="10">
    <mergeCell ref="A2:F2"/>
    <mergeCell ref="B44:B48"/>
    <mergeCell ref="B17:B20"/>
    <mergeCell ref="B39:B42"/>
    <mergeCell ref="B33:B37"/>
    <mergeCell ref="B11:B15"/>
    <mergeCell ref="A1:F1"/>
    <mergeCell ref="B22:B26"/>
    <mergeCell ref="B5:B9"/>
    <mergeCell ref="B28:B3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7.4"/>
  <cols>
    <col width="11" customWidth="1" style="30" min="1" max="1"/>
    <col width="8" customWidth="1" style="30" min="2" max="2"/>
    <col width="13" customWidth="1" style="30" min="3" max="3"/>
    <col width="14" customWidth="1" style="30" min="4" max="4"/>
    <col width="50" customWidth="1" style="30" min="5" max="5"/>
    <col width="34" customWidth="1" style="30" min="6" max="6"/>
    <col width="13" customWidth="1" style="30" min="7" max="7"/>
  </cols>
  <sheetData>
    <row r="1" ht="24" customHeight="1" s="30">
      <c r="A1" s="32" t="inlineStr">
        <is>
          <t>성취기준 매핑 (2022 개정 교육과정)</t>
        </is>
      </c>
    </row>
    <row r="2">
      <c r="A2" s="29" t="inlineStr">
        <is>
          <t>물리는 교육부 고시 「역학과 에너지」 원문과 대조 완료. 정보는 대조 자료가 없어 확인이 필요합니다.</t>
        </is>
      </c>
    </row>
    <row r="4" ht="28.05" customHeight="1" s="30">
      <c r="A4" s="2" t="inlineStr">
        <is>
          <t>과정</t>
        </is>
      </c>
      <c r="B4" s="2" t="inlineStr">
        <is>
          <t>차시</t>
        </is>
      </c>
      <c r="C4" s="2" t="inlineStr">
        <is>
          <t>과목</t>
        </is>
      </c>
      <c r="D4" s="2" t="inlineStr">
        <is>
          <t>성취기준 번호</t>
        </is>
      </c>
      <c r="E4" s="2" t="inlineStr">
        <is>
          <t>성취기준 내용(요지)</t>
        </is>
      </c>
      <c r="F4" s="2" t="inlineStr">
        <is>
          <t>해당 활동</t>
        </is>
      </c>
      <c r="G4" s="2" t="inlineStr">
        <is>
          <t>확인 상태</t>
        </is>
      </c>
    </row>
    <row r="5" ht="31.2" customHeight="1" s="30">
      <c r="A5" s="13" t="inlineStr">
        <is>
          <t>물리 중심</t>
        </is>
      </c>
      <c r="B5" s="13" t="inlineStr">
        <is>
          <t>1~4·7</t>
        </is>
      </c>
      <c r="C5" s="13" t="inlineStr">
        <is>
          <t>역학과 에너지</t>
        </is>
      </c>
      <c r="D5" s="13" t="inlineStr">
        <is>
          <t>[12역학01-02]</t>
        </is>
      </c>
      <c r="E5" s="34" t="inlineStr">
        <is>
          <t>뉴턴 운동 법칙을 이용하여 물체의 포물선 운동을 정량적으로 설명하고, 포물선 운동에서의 역학적 에너지를 구할 수 있다.</t>
        </is>
      </c>
      <c r="F5" s="34" t="inlineStr">
        <is>
          <t>1-2~1-5 탐구 / 2-2~2-3 구현 / 4-3 실측 대조 / 7-2 에너지 계산</t>
        </is>
      </c>
      <c r="G5" s="14" t="inlineStr">
        <is>
          <t>원문 대조 완료</t>
        </is>
      </c>
    </row>
    <row r="6" ht="31.2" customHeight="1" s="30">
      <c r="A6" s="13" t="inlineStr">
        <is>
          <t>물리 중심</t>
        </is>
      </c>
      <c r="B6" s="13" t="inlineStr">
        <is>
          <t>2·3·5</t>
        </is>
      </c>
      <c r="C6" s="13" t="inlineStr">
        <is>
          <t>역학과 에너지</t>
        </is>
      </c>
      <c r="D6" s="13" t="inlineStr">
        <is>
          <t>[12역학01-01]</t>
        </is>
      </c>
      <c r="E6" s="34" t="inlineStr">
        <is>
          <t>물체에 작용하는 여러 가지 힘의 합력을 구하여 물체의 운동을 정량적으로 예측할 수 있다.</t>
        </is>
      </c>
      <c r="F6" s="34" t="inlineStr">
        <is>
          <t>2-5 중력+저항 합력 / 3-3 저항과 사거리 / 5-2~5-4 저항계수 산출</t>
        </is>
      </c>
      <c r="G6" s="14" t="inlineStr">
        <is>
          <t>원문 대조 완료</t>
        </is>
      </c>
    </row>
    <row r="7" ht="31.2" customHeight="1" s="30">
      <c r="A7" s="13" t="inlineStr">
        <is>
          <t>물리 중심</t>
        </is>
      </c>
      <c r="B7" s="13" t="inlineStr">
        <is>
          <t>6</t>
        </is>
      </c>
      <c r="C7" s="13" t="inlineStr">
        <is>
          <t>역학과 에너지</t>
        </is>
      </c>
      <c r="D7" s="13" t="inlineStr">
        <is>
          <t>[12역학03-01]</t>
        </is>
      </c>
      <c r="E7" s="34" t="inlineStr">
        <is>
          <t>용수철 진자를 통해 단진동을 이해하고, 가속도와 변위 사이의 관계를 설명할 수 있다.</t>
        </is>
      </c>
      <c r="F7" s="34" t="inlineStr">
        <is>
          <t>6-2 단진동 구현 / 6-3 주기와 질량의 관계</t>
        </is>
      </c>
      <c r="G7" s="14" t="inlineStr">
        <is>
          <t>원문 대조 완료</t>
        </is>
      </c>
    </row>
    <row r="8" ht="46.8" customHeight="1" s="30">
      <c r="A8" s="13" t="inlineStr">
        <is>
          <t>물리 중심</t>
        </is>
      </c>
      <c r="B8" s="13" t="inlineStr">
        <is>
          <t>6</t>
        </is>
      </c>
      <c r="C8" s="13" t="inlineStr">
        <is>
          <t>역학과 에너지</t>
        </is>
      </c>
      <c r="D8" s="13" t="inlineStr">
        <is>
          <t>[12역학01-04]</t>
        </is>
      </c>
      <c r="E8" s="34" t="inlineStr">
        <is>
          <t>케플러 법칙으로부터 중력의 존재가 밝혀지는 과학사적 배경을 이해하고, 중력을 이용하여 인공위성과 행성의 운동을 분석하고 설명할 수 있다.</t>
        </is>
      </c>
      <c r="F8" s="34" t="inlineStr">
        <is>
          <t>6-4 행성 궤도 구현 / 6-5 면적 속도 일정(케플러 제2법칙)</t>
        </is>
      </c>
      <c r="G8" s="14" t="inlineStr">
        <is>
          <t>원문 대조 완료</t>
        </is>
      </c>
    </row>
    <row r="9" ht="46.8" customHeight="1" s="30">
      <c r="A9" s="13" t="inlineStr">
        <is>
          <t>물리 중심</t>
        </is>
      </c>
      <c r="B9" s="13" t="inlineStr">
        <is>
          <t>7</t>
        </is>
      </c>
      <c r="C9" s="13" t="inlineStr">
        <is>
          <t>역학과 에너지</t>
        </is>
      </c>
      <c r="D9" s="13" t="inlineStr">
        <is>
          <t>[12역학01-05]</t>
        </is>
      </c>
      <c r="E9" s="34" t="inlineStr">
        <is>
          <t>역학적 에너지 보존을 이용하여 행성에 따라 탈출 속도가 다름을 이해하고, 운동량 보존을 이용하여 우주선이 궤도에 오르는 원리를 설명할 수 있다.</t>
        </is>
      </c>
      <c r="F9" s="34" t="inlineStr">
        <is>
          <t>7-3 에너지 드리프트 / 7-5 저항이 한 일</t>
        </is>
      </c>
      <c r="G9" s="14" t="inlineStr">
        <is>
          <t>원문 대조 완료</t>
        </is>
      </c>
    </row>
    <row r="10" ht="31.2" customHeight="1" s="30">
      <c r="A10" s="13" t="inlineStr">
        <is>
          <t>물리 중심</t>
        </is>
      </c>
      <c r="B10" s="13" t="inlineStr">
        <is>
          <t>1</t>
        </is>
      </c>
      <c r="C10" s="13" t="inlineStr">
        <is>
          <t>정보</t>
        </is>
      </c>
      <c r="D10" s="13" t="inlineStr">
        <is>
          <t>[12정03-01]</t>
        </is>
      </c>
      <c r="E10" s="34" t="inlineStr">
        <is>
          <t>실생활 문제를 분석하여 핵심 요소를 추출하고 알고리즘으로 설계한다.</t>
        </is>
      </c>
      <c r="F10" s="34" t="inlineStr">
        <is>
          <t>1-6 의사코드 / 1-7 손계산</t>
        </is>
      </c>
      <c r="G10" s="15" t="inlineStr">
        <is>
          <t>확인 필요</t>
        </is>
      </c>
    </row>
    <row r="11" ht="31.2" customHeight="1" s="30">
      <c r="A11" s="13" t="inlineStr">
        <is>
          <t>물리 중심</t>
        </is>
      </c>
      <c r="B11" s="13" t="inlineStr">
        <is>
          <t>2</t>
        </is>
      </c>
      <c r="C11" s="13" t="inlineStr">
        <is>
          <t>정보</t>
        </is>
      </c>
      <c r="D11" s="13" t="inlineStr">
        <is>
          <t>[12정03-05]</t>
        </is>
      </c>
      <c r="E11" s="34" t="inlineStr">
        <is>
          <t>다양한 제어 구조와 자료구조를 활용하여 문제 해결 프로그램을 작성한다.</t>
        </is>
      </c>
      <c r="F11" s="34" t="inlineStr">
        <is>
          <t>2-2~2-3 구현</t>
        </is>
      </c>
      <c r="G11" s="15" t="inlineStr">
        <is>
          <t>확인 필요</t>
        </is>
      </c>
    </row>
    <row r="12">
      <c r="A12" s="13" t="inlineStr">
        <is>
          <t>물리 중심</t>
        </is>
      </c>
      <c r="B12" s="13" t="inlineStr">
        <is>
          <t>2</t>
        </is>
      </c>
      <c r="C12" s="13" t="inlineStr">
        <is>
          <t>정보</t>
        </is>
      </c>
      <c r="D12" s="13" t="inlineStr">
        <is>
          <t>[12정03-02]</t>
        </is>
      </c>
      <c r="E12" s="34" t="inlineStr">
        <is>
          <t>프로그램의 오류를 발견하고 수정한다.</t>
        </is>
      </c>
      <c r="F12" s="34" t="inlineStr">
        <is>
          <t>2-4 디버깅 트랙(버그 3종)</t>
        </is>
      </c>
      <c r="G12" s="15" t="inlineStr">
        <is>
          <t>확인 필요</t>
        </is>
      </c>
    </row>
    <row r="13" ht="31.2" customHeight="1" s="30">
      <c r="A13" s="13" t="inlineStr">
        <is>
          <t>물리 중심</t>
        </is>
      </c>
      <c r="B13" s="13" t="inlineStr">
        <is>
          <t>3·5</t>
        </is>
      </c>
      <c r="C13" s="13" t="inlineStr">
        <is>
          <t>정보</t>
        </is>
      </c>
      <c r="D13" s="13" t="inlineStr">
        <is>
          <t>[12정03-03]</t>
        </is>
      </c>
      <c r="E13" s="34" t="inlineStr">
        <is>
          <t>탐색 알고리즘을 이해하고 문제 상황에 적절히 적용한다.</t>
        </is>
      </c>
      <c r="F13" s="34" t="inlineStr">
        <is>
          <t>3-2 이진 탐색 / 3-3 전수 탐색 / 5-3 자동 피팅</t>
        </is>
      </c>
      <c r="G13" s="15" t="inlineStr">
        <is>
          <t>확인 필요</t>
        </is>
      </c>
    </row>
    <row r="14">
      <c r="A14" s="13" t="inlineStr">
        <is>
          <t>물리 중심</t>
        </is>
      </c>
      <c r="B14" s="13" t="inlineStr">
        <is>
          <t>8</t>
        </is>
      </c>
      <c r="C14" s="13" t="inlineStr">
        <is>
          <t>공통</t>
        </is>
      </c>
      <c r="D14" s="16" t="inlineStr">
        <is>
          <t>(번호 미정)</t>
        </is>
      </c>
      <c r="E14" s="34" t="inlineStr">
        <is>
          <t>탐구 과정을 설계·수행하고 결과를 논거와 함께 발표한다.</t>
        </is>
      </c>
      <c r="F14" s="34" t="inlineStr">
        <is>
          <t>8-2~8-6 프로젝트·발표</t>
        </is>
      </c>
      <c r="G14" s="15" t="inlineStr">
        <is>
          <t>확인 필요</t>
        </is>
      </c>
    </row>
    <row r="15" ht="31.2" customHeight="1" s="30">
      <c r="A15" s="13" t="inlineStr">
        <is>
          <t>정보 중심</t>
        </is>
      </c>
      <c r="B15" s="13" t="inlineStr">
        <is>
          <t>1</t>
        </is>
      </c>
      <c r="C15" s="13" t="inlineStr">
        <is>
          <t>정보</t>
        </is>
      </c>
      <c r="D15" s="13" t="inlineStr">
        <is>
          <t>[12정03-01]</t>
        </is>
      </c>
      <c r="E15" s="34" t="inlineStr">
        <is>
          <t>실생활 문제를 분석하여 핵심 요소를 추출하고 알고리즘으로 설계한다.</t>
        </is>
      </c>
      <c r="F15" s="34" t="inlineStr">
        <is>
          <t>i1-2 변수 분류 / i1-3 의사코드</t>
        </is>
      </c>
      <c r="G15" s="15" t="inlineStr">
        <is>
          <t>확인 필요</t>
        </is>
      </c>
    </row>
    <row r="16" ht="31.2" customHeight="1" s="30">
      <c r="A16" s="13" t="inlineStr">
        <is>
          <t>정보 중심</t>
        </is>
      </c>
      <c r="B16" s="13" t="inlineStr">
        <is>
          <t>2</t>
        </is>
      </c>
      <c r="C16" s="13" t="inlineStr">
        <is>
          <t>정보</t>
        </is>
      </c>
      <c r="D16" s="13" t="inlineStr">
        <is>
          <t>[12정03-05]</t>
        </is>
      </c>
      <c r="E16" s="34" t="inlineStr">
        <is>
          <t>다양한 제어 구조와 자료구조를 활용하여 문제 해결 프로그램을 작성한다.</t>
        </is>
      </c>
      <c r="F16" s="34" t="inlineStr">
        <is>
          <t>i2-2 반복문 / i2-3 배열 순회</t>
        </is>
      </c>
      <c r="G16" s="15" t="inlineStr">
        <is>
          <t>확인 필요</t>
        </is>
      </c>
    </row>
    <row r="17">
      <c r="A17" s="13" t="inlineStr">
        <is>
          <t>정보 중심</t>
        </is>
      </c>
      <c r="B17" s="13" t="inlineStr">
        <is>
          <t>3</t>
        </is>
      </c>
      <c r="C17" s="13" t="inlineStr">
        <is>
          <t>정보</t>
        </is>
      </c>
      <c r="D17" s="13" t="inlineStr">
        <is>
          <t>[12정03-02]</t>
        </is>
      </c>
      <c r="E17" s="34" t="inlineStr">
        <is>
          <t>프로그램의 오류를 발견하고 수정한다.</t>
        </is>
      </c>
      <c r="F17" s="34" t="inlineStr">
        <is>
          <t>i3-2 디버깅 / i3-3 테스트 설계</t>
        </is>
      </c>
      <c r="G17" s="15" t="inlineStr">
        <is>
          <t>확인 필요</t>
        </is>
      </c>
    </row>
    <row r="18">
      <c r="A18" s="13" t="inlineStr">
        <is>
          <t>정보 중심</t>
        </is>
      </c>
      <c r="B18" s="13" t="inlineStr">
        <is>
          <t>4</t>
        </is>
      </c>
      <c r="C18" s="13" t="inlineStr">
        <is>
          <t>정보</t>
        </is>
      </c>
      <c r="D18" s="16" t="inlineStr">
        <is>
          <t>(번호 미정)</t>
        </is>
      </c>
      <c r="E18" s="34" t="inlineStr">
        <is>
          <t>자료를 수집·정제·분석하고 시각화하여 의미를 도출한다.</t>
        </is>
      </c>
      <c r="F18" s="34" t="inlineStr">
        <is>
          <t>i4-3 파싱 / i4-4 통계 / i4-5 시각화</t>
        </is>
      </c>
      <c r="G18" s="15" t="inlineStr">
        <is>
          <t>확인 필요</t>
        </is>
      </c>
    </row>
    <row r="19">
      <c r="A19" s="13" t="inlineStr">
        <is>
          <t>정보 중심</t>
        </is>
      </c>
      <c r="B19" s="13" t="inlineStr">
        <is>
          <t>5</t>
        </is>
      </c>
      <c r="C19" s="13" t="inlineStr">
        <is>
          <t>정보</t>
        </is>
      </c>
      <c r="D19" s="13" t="inlineStr">
        <is>
          <t>[12정03-03]</t>
        </is>
      </c>
      <c r="E19" s="34" t="inlineStr">
        <is>
          <t>탐색 알고리즘을 이해하고 문제 상황에 적절히 적용한다.</t>
        </is>
      </c>
      <c r="F19" s="34" t="inlineStr">
        <is>
          <t>i5-2 전수 / i5-3 이진 / i5-4 복잡도</t>
        </is>
      </c>
      <c r="G19" s="15" t="inlineStr">
        <is>
          <t>확인 필요</t>
        </is>
      </c>
    </row>
    <row r="20">
      <c r="A20" s="13" t="inlineStr">
        <is>
          <t>정보 중심</t>
        </is>
      </c>
      <c r="B20" s="13" t="inlineStr">
        <is>
          <t>6</t>
        </is>
      </c>
      <c r="C20" s="13" t="inlineStr">
        <is>
          <t>정보</t>
        </is>
      </c>
      <c r="D20" s="16" t="inlineStr">
        <is>
          <t>(번호 미정)</t>
        </is>
      </c>
      <c r="E20" s="34" t="inlineStr">
        <is>
          <t>문제에 적합한 알고리즘을 선택하고 효율성을 비교·판단한다.</t>
        </is>
      </c>
      <c r="F20" s="34" t="inlineStr">
        <is>
          <t>i6-3 격자 / i6-4 삼분 탐색 비교</t>
        </is>
      </c>
      <c r="G20" s="15" t="inlineStr">
        <is>
          <t>확인 필요</t>
        </is>
      </c>
    </row>
    <row r="21">
      <c r="A21" s="13" t="inlineStr">
        <is>
          <t>정보 중심</t>
        </is>
      </c>
      <c r="B21" s="13" t="inlineStr">
        <is>
          <t>7</t>
        </is>
      </c>
      <c r="C21" s="13" t="inlineStr">
        <is>
          <t>정보</t>
        </is>
      </c>
      <c r="D21" s="16" t="inlineStr">
        <is>
          <t>(번호 미정)</t>
        </is>
      </c>
      <c r="E21" s="34" t="inlineStr">
        <is>
          <t>함수로 모듈화하여 재사용 가능한 프로그램을 작성한다.</t>
        </is>
      </c>
      <c r="F21" s="34" t="inlineStr">
        <is>
          <t>i7-2 범용 엔진 / i7-3 고차 함수</t>
        </is>
      </c>
      <c r="G21" s="15" t="inlineStr">
        <is>
          <t>확인 필요</t>
        </is>
      </c>
    </row>
    <row r="22" ht="31.2" customHeight="1" s="30">
      <c r="A22" s="13" t="inlineStr">
        <is>
          <t>정보 중심</t>
        </is>
      </c>
      <c r="B22" s="13" t="inlineStr">
        <is>
          <t>8</t>
        </is>
      </c>
      <c r="C22" s="13" t="inlineStr">
        <is>
          <t>정보</t>
        </is>
      </c>
      <c r="D22" s="13" t="inlineStr">
        <is>
          <t>[12정03-07]</t>
        </is>
      </c>
      <c r="E22" s="34" t="inlineStr">
        <is>
          <t>타 교과·실생활의 문제를 프로그래밍으로 해결하고 과정을 공유한다.</t>
        </is>
      </c>
      <c r="F22" s="34" t="inlineStr">
        <is>
          <t>i8-2~i8-5 프로젝트·코드 리뷰</t>
        </is>
      </c>
      <c r="G22" s="15" t="inlineStr">
        <is>
          <t>확인 필요</t>
        </is>
      </c>
    </row>
    <row r="23" ht="31.2" customHeight="1" s="30">
      <c r="A23" s="13" t="inlineStr">
        <is>
          <t>정보 중심</t>
        </is>
      </c>
      <c r="B23" s="13" t="inlineStr">
        <is>
          <t>2~7</t>
        </is>
      </c>
      <c r="C23" s="13" t="inlineStr">
        <is>
          <t>역학과 에너지</t>
        </is>
      </c>
      <c r="D23" s="13" t="inlineStr">
        <is>
          <t>[12역학01-02]</t>
        </is>
      </c>
      <c r="E23" s="34" t="inlineStr">
        <is>
          <t>(소재로 활용) 포물선 운동을 정량적으로 설명하고 역학적 에너지를 구할 수 있다.</t>
        </is>
      </c>
      <c r="F23" s="34" t="inlineStr">
        <is>
          <t>전 차시의 문제 상황으로 사용</t>
        </is>
      </c>
      <c r="G23" s="14" t="inlineStr">
        <is>
          <t>원문 대조 완료</t>
        </is>
      </c>
    </row>
    <row r="25">
      <c r="A25" s="17" t="inlineStr">
        <is>
          <t>출처 및 확인 상태</t>
        </is>
      </c>
    </row>
    <row r="26">
      <c r="A26" s="31" t="inlineStr">
        <is>
          <t>· 출처 : 교육부 고시 2022 개정 교육과정 과학과 교육과정 「역학과 에너지」.
  교육과정 고시문은 공공저작물이며 저작권자는 교육부입니다. 출처를 밝히면 이용할 수 있습니다.
  ⑴ 시공간과 운동 / ⑶ 탄성파와 소리 영역의 성취기준 원문과 대조하여 확인했습니다.
· 정보 : 대조할 원문 자료가 없어 번호를 확정하지 못했습니다.
  국가교육과정정보센터(NCIC)에서 고등학교 「정보」 성취기준 번호를 확인해 주십시오.
· 「역학과 에너지」 ⑴ 시공간과 운동 영역의 탐구 활동에는 다음이 명시되어 있어
  본 수업의 4·6·7차시와 직접 대응합니다 :
   - 포물선 운동을 하는 물체의 동영상을 분석하여 역학적 에너지 보존 확인하기
   - 스마트폰을 이용하여 다양한 놀이 기구의 운동 분석하기
   - 행성 관측 데이터를 이용하여 케플러 법칙 확인하기</t>
        </is>
      </c>
    </row>
    <row r="27"/>
    <row r="28"/>
    <row r="29"/>
  </sheetData>
  <mergeCells count="3">
    <mergeCell ref="A2:G2"/>
    <mergeCell ref="A1:G1"/>
    <mergeCell ref="A26:G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7.4"/>
  <cols>
    <col width="7" customWidth="1" style="30" min="1" max="1"/>
    <col width="46" customWidth="1" style="30" min="2" max="2"/>
    <col width="40" customWidth="1" style="30" min="3" max="3"/>
    <col width="20" customWidth="1" style="30" min="4" max="5"/>
  </cols>
  <sheetData>
    <row r="1" ht="24" customHeight="1" s="30">
      <c r="A1" s="32" t="inlineStr">
        <is>
          <t>성취수준(A~E)과 평가기준</t>
        </is>
      </c>
    </row>
    <row r="2">
      <c r="A2" s="29" t="inlineStr">
        <is>
          <t>수업 중 도달 지점을 수준별로 설계했습니다. 대응 단계는 웹앱의 단계 번호입니다.</t>
        </is>
      </c>
    </row>
    <row r="4" ht="28.05" customHeight="1" s="30">
      <c r="A4" s="2" t="inlineStr">
        <is>
          <t>수준</t>
        </is>
      </c>
      <c r="B4" s="2" t="inlineStr">
        <is>
          <t>성취수준 진술</t>
        </is>
      </c>
      <c r="C4" s="2" t="inlineStr">
        <is>
          <t>도달 증거</t>
        </is>
      </c>
      <c r="D4" s="2" t="inlineStr">
        <is>
          <t>대응 단계(물리)</t>
        </is>
      </c>
      <c r="E4" s="2" t="inlineStr">
        <is>
          <t>대응 단계(정보)</t>
        </is>
      </c>
    </row>
    <row r="5" ht="43.95" customHeight="1" s="30">
      <c r="A5" s="18" t="inlineStr">
        <is>
          <t>A</t>
        </is>
      </c>
      <c r="B5" s="34" t="inlineStr">
        <is>
          <t>모형을 알고리즘으로 완전히 전환하고, 결과를 물리 법칙으로 해석하며 알고리즘의 효율성까지 비교·판단한다.</t>
        </is>
      </c>
      <c r="C5" s="34" t="inlineStr">
        <is>
          <t>힌트 없이 버그를 수정하고, 최적각 이동을 체공시간 관점에서 논증한다.</t>
        </is>
      </c>
      <c r="D5" s="34" t="inlineStr">
        <is>
          <t>2-4 무힌트, 7-3, 8-4</t>
        </is>
      </c>
      <c r="E5" s="34" t="inlineStr">
        <is>
          <t>i6-4, i7-2, i8-5</t>
        </is>
      </c>
    </row>
    <row r="6" ht="43.95" customHeight="1" s="30">
      <c r="A6" s="18" t="inlineStr">
        <is>
          <t>B</t>
        </is>
      </c>
      <c r="B6" s="34" t="inlineStr">
        <is>
          <t>모형을 알고리즘으로 전환해 프로그램을 완성하고 결과의 경향성을 설명한다.</t>
        </is>
      </c>
      <c r="C6" s="34" t="inlineStr">
        <is>
          <t>공기저항 구현까지 통과하고 데이터로 결론을 제시한다.</t>
        </is>
      </c>
      <c r="D6" s="34" t="inlineStr">
        <is>
          <t>2-5, 3-3, 5-3</t>
        </is>
      </c>
      <c r="E6" s="34" t="inlineStr">
        <is>
          <t>i5-2, i5-3, i6-3</t>
        </is>
      </c>
    </row>
    <row r="7" ht="43.95" customHeight="1" s="30">
      <c r="A7" s="18" t="inlineStr">
        <is>
          <t>C</t>
        </is>
      </c>
      <c r="B7" s="34" t="inlineStr">
        <is>
          <t>안내된 절차에 따라 프로그램을 완성하고 결과를 읽어 낸다.</t>
        </is>
      </c>
      <c r="C7" s="34" t="inlineStr">
        <is>
          <t>힌트를 참고해 기본 구현을 통과하고 표에서 최적값을 찾는다.</t>
        </is>
      </c>
      <c r="D7" s="34" t="inlineStr">
        <is>
          <t>2-3, 3-3</t>
        </is>
      </c>
      <c r="E7" s="34" t="inlineStr">
        <is>
          <t>i2-3, i4-4</t>
        </is>
      </c>
    </row>
    <row r="8" ht="43.95" customHeight="1" s="30">
      <c r="A8" s="18" t="inlineStr">
        <is>
          <t>D</t>
        </is>
      </c>
      <c r="B8" s="34" t="inlineStr">
        <is>
          <t>제시된 코드를 수정·실행하여 부분적으로 결과를 얻는다.</t>
        </is>
      </c>
      <c r="C8" s="34" t="inlineStr">
        <is>
          <t>빈칸을 채워 공을 날리고 슬라이더 관찰을 기록한다.</t>
        </is>
      </c>
      <c r="D8" s="34" t="inlineStr">
        <is>
          <t>1-2, 2-2</t>
        </is>
      </c>
      <c r="E8" s="34" t="inlineStr">
        <is>
          <t>i2-2, i4-2</t>
        </is>
      </c>
    </row>
    <row r="9" ht="43.95" customHeight="1" s="30">
      <c r="A9" s="18" t="inlineStr">
        <is>
          <t>E</t>
        </is>
      </c>
      <c r="B9" s="34" t="inlineStr">
        <is>
          <t>안내를 받아 시뮬레이션을 실행하고 현상을 관찰한다.</t>
        </is>
      </c>
      <c r="C9" s="34" t="inlineStr">
        <is>
          <t>각도별 궤적 차이를 말로 설명한다.</t>
        </is>
      </c>
      <c r="D9" s="34" t="inlineStr">
        <is>
          <t>1-2 ~ 1-4</t>
        </is>
      </c>
      <c r="E9" s="34" t="inlineStr">
        <is>
          <t>i1-2, i1-4</t>
        </is>
      </c>
    </row>
    <row r="11" ht="19.2" customHeight="1" s="30">
      <c r="A11" s="1" t="inlineStr">
        <is>
          <t>평가기준 (성취기준별 상·중·하)</t>
        </is>
      </c>
    </row>
    <row r="12" ht="28.05" customHeight="1" s="30">
      <c r="A12" s="2" t="inlineStr">
        <is>
          <t>성취기준</t>
        </is>
      </c>
      <c r="B12" s="2" t="inlineStr">
        <is>
          <t>수준</t>
        </is>
      </c>
      <c r="C12" s="2" t="inlineStr">
        <is>
          <t>평가기준</t>
        </is>
      </c>
    </row>
    <row r="13" ht="62.4" customHeight="1" s="30">
      <c r="A13" s="34" t="inlineStr">
        <is>
          <t>[12정03-01] 알고리즘 설계</t>
        </is>
      </c>
      <c r="B13" s="8" t="inlineStr">
        <is>
          <t>상</t>
        </is>
      </c>
      <c r="C13" s="34" t="inlineStr">
        <is>
          <t>초기조건·반복조건·종료조건·갱신순서를 모두 정확히 포함한 의사코드를 스스로 작성한다.</t>
        </is>
      </c>
    </row>
    <row r="14" ht="31.2" customHeight="1" s="30">
      <c r="A14" s="34" t="n"/>
      <c r="B14" s="8" t="inlineStr">
        <is>
          <t>중</t>
        </is>
      </c>
      <c r="C14" s="34" t="inlineStr">
        <is>
          <t>주요 단계를 포함하나 종료조건이나 갱신 순서에 일부 오류가 있다.</t>
        </is>
      </c>
    </row>
    <row r="15">
      <c r="A15" s="34" t="n"/>
      <c r="B15" s="8" t="inlineStr">
        <is>
          <t>하</t>
        </is>
      </c>
      <c r="C15" s="34" t="inlineStr">
        <is>
          <t>제시된 단계를 순서대로 배열할 수 있다.</t>
        </is>
      </c>
    </row>
    <row r="16" ht="62.4" customHeight="1" s="30">
      <c r="A16" s="34" t="inlineStr">
        <is>
          <t>[12정03-02] 오류 수정</t>
        </is>
      </c>
      <c r="B16" s="8" t="inlineStr">
        <is>
          <t>상</t>
        </is>
      </c>
      <c r="C16" s="34" t="inlineStr">
        <is>
          <t>증상만 보고 원인을 특정하여 세 버그를 모두 힌트 없이 수정한다.</t>
        </is>
      </c>
    </row>
    <row r="17">
      <c r="A17" s="34" t="n"/>
      <c r="B17" s="8" t="inlineStr">
        <is>
          <t>중</t>
        </is>
      </c>
      <c r="C17" s="34" t="inlineStr">
        <is>
          <t>힌트를 활용하여 버그를 수정하고 원인을 설명한다.</t>
        </is>
      </c>
    </row>
    <row r="18">
      <c r="A18" s="34" t="n"/>
      <c r="B18" s="8" t="inlineStr">
        <is>
          <t>하</t>
        </is>
      </c>
      <c r="C18" s="34" t="inlineStr">
        <is>
          <t>안내에 따라 지정된 줄을 고쳐 실행 결과를 얻는다.</t>
        </is>
      </c>
    </row>
    <row r="19" ht="62.4" customHeight="1" s="30">
      <c r="A19" s="34" t="inlineStr">
        <is>
          <t>[12물리01-04] 저항력의 영향</t>
        </is>
      </c>
      <c r="B19" s="8" t="inlineStr">
        <is>
          <t>상</t>
        </is>
      </c>
      <c r="C19" s="34" t="inlineStr">
        <is>
          <t>최적 발사각이 낮아지는 현상을 체공시간·속력 감소의 인과로 설명한다.</t>
        </is>
      </c>
    </row>
    <row r="20" ht="31.2" customHeight="1" s="30">
      <c r="A20" s="34" t="n"/>
      <c r="B20" s="8" t="inlineStr">
        <is>
          <t>중</t>
        </is>
      </c>
      <c r="C20" s="34" t="inlineStr">
        <is>
          <t>저항이 커지면 사거리가 줄고 최적각이 내려감을 데이터로 제시한다.</t>
        </is>
      </c>
    </row>
    <row r="21" ht="31.2" customHeight="1" s="30">
      <c r="A21" s="34" t="n"/>
      <c r="B21" s="8" t="inlineStr">
        <is>
          <t>하</t>
        </is>
      </c>
      <c r="C21" s="34" t="inlineStr">
        <is>
          <t>저항이 있으면 공이 덜 멀리 나간다는 것을 관찰하여 진술한다.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0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5" customWidth="1" style="30" min="1" max="1"/>
    <col width="9" customWidth="1" style="30" min="2" max="2"/>
    <col width="10" customWidth="1" style="30" min="3" max="3"/>
    <col width="11" customWidth="1" style="30" min="4" max="4"/>
    <col width="8" customWidth="1" style="30" min="5" max="12"/>
    <col width="11" customWidth="1" style="30" min="13" max="13"/>
    <col width="9" customWidth="1" style="30" min="14" max="14"/>
    <col width="10" customWidth="1" style="30" min="15" max="15"/>
    <col width="2" customWidth="1" style="30" min="16" max="17"/>
    <col width="22" customWidth="1" style="30" min="18" max="18"/>
    <col width="10" customWidth="1" style="30" min="19" max="19"/>
  </cols>
  <sheetData>
    <row r="1" ht="24" customHeight="1" s="30">
      <c r="A1" s="32" t="inlineStr">
        <is>
          <t>학생별 평가 기록 양식</t>
        </is>
      </c>
    </row>
    <row r="2">
      <c r="A2" s="29" t="inlineStr">
        <is>
          <t>노란색 칸만 입력하십시오. 합계·비율·성취수준은 수식으로 자동 계산됩니다.</t>
        </is>
      </c>
    </row>
    <row r="4">
      <c r="A4" s="19" t="inlineStr">
        <is>
          <t>입력 안내</t>
        </is>
      </c>
    </row>
    <row r="5" ht="16.05" customHeight="1" s="30">
      <c r="A5" s="31" t="inlineStr">
        <is>
          <t>· B열 학번, C열 이름, D열 과정("물리중심" 또는 "정보중심")을 입력합니다.
· E~L열에는 각 차시에서 학생이 통과한 단계 수를 입력합니다.
· M열 합계, N열 달성률, O열 성취수준은 자동 계산되므로 입력하지 마십시오.
· 10행은 작성 예시입니다. 실제 기록은 11행부터 입력하고 10행은 지워도 됩니다.
· 성취수준 판정 기준(달성률) : A 90% 이상 · B 70% 이상 · C 50% 이상 · D 30% 이상 · E 30% 미만</t>
        </is>
      </c>
    </row>
    <row r="6"/>
    <row r="7"/>
    <row r="9" ht="28.05" customHeight="1" s="30">
      <c r="A9" s="2" t="inlineStr">
        <is>
          <t>No</t>
        </is>
      </c>
      <c r="B9" s="2" t="inlineStr">
        <is>
          <t>학번</t>
        </is>
      </c>
      <c r="C9" s="2" t="inlineStr">
        <is>
          <t>이름</t>
        </is>
      </c>
      <c r="D9" s="2" t="inlineStr">
        <is>
          <t>과정</t>
        </is>
      </c>
      <c r="E9" s="2" t="inlineStr">
        <is>
          <t>1차시</t>
        </is>
      </c>
      <c r="F9" s="2" t="inlineStr">
        <is>
          <t>2차시</t>
        </is>
      </c>
      <c r="G9" s="2" t="inlineStr">
        <is>
          <t>3차시</t>
        </is>
      </c>
      <c r="H9" s="2" t="inlineStr">
        <is>
          <t>4차시</t>
        </is>
      </c>
      <c r="I9" s="2" t="inlineStr">
        <is>
          <t>5차시</t>
        </is>
      </c>
      <c r="J9" s="2" t="inlineStr">
        <is>
          <t>6차시</t>
        </is>
      </c>
      <c r="K9" s="2" t="inlineStr">
        <is>
          <t>7차시</t>
        </is>
      </c>
      <c r="L9" s="2" t="inlineStr">
        <is>
          <t>8차시</t>
        </is>
      </c>
      <c r="M9" s="2" t="inlineStr">
        <is>
          <t>통과 합계</t>
        </is>
      </c>
      <c r="N9" s="2" t="inlineStr">
        <is>
          <t>달성률</t>
        </is>
      </c>
      <c r="O9" s="2" t="inlineStr">
        <is>
          <t>성취수준</t>
        </is>
      </c>
      <c r="R9" s="20" t="inlineStr">
        <is>
          <t>과정별 총 단계 수 (판정 기준)</t>
        </is>
      </c>
    </row>
    <row r="10">
      <c r="A10" s="8" t="n">
        <v>1</v>
      </c>
      <c r="B10" s="21" t="inlineStr">
        <is>
          <t>10101</t>
        </is>
      </c>
      <c r="C10" s="21" t="inlineStr">
        <is>
          <t>홍길동</t>
        </is>
      </c>
      <c r="D10" s="21" t="inlineStr">
        <is>
          <t>물리중심</t>
        </is>
      </c>
      <c r="E10" s="22" t="n">
        <v>8</v>
      </c>
      <c r="F10" s="22" t="n">
        <v>7</v>
      </c>
      <c r="G10" s="22" t="n">
        <v>7</v>
      </c>
      <c r="H10" s="22" t="n">
        <v>6</v>
      </c>
      <c r="I10" s="22" t="n">
        <v>6</v>
      </c>
      <c r="J10" s="22" t="n">
        <v>6</v>
      </c>
      <c r="K10" s="22" t="n">
        <v>6</v>
      </c>
      <c r="L10" s="22" t="n">
        <v>6</v>
      </c>
      <c r="M10" s="23">
        <f>IF(COUNT(E10:L10)=0,"",SUM(E10:L10))</f>
        <v/>
      </c>
      <c r="N10" s="37">
        <f>IFERROR(IF($M10="","",$M10/IF($D10="정보중심",$S$11,$S$10)),"")</f>
        <v/>
      </c>
      <c r="O10" s="25">
        <f>IF($N10="","",IF($N10&gt;=0.9,"A",IF($N10&gt;=0.7,"B",IF($N10&gt;=0.5,"C",IF($N10&gt;=0.3,"D","E")))))</f>
        <v/>
      </c>
      <c r="R10" s="26" t="inlineStr">
        <is>
          <t>물리중심</t>
        </is>
      </c>
      <c r="S10" s="27" t="n">
        <v>52</v>
      </c>
    </row>
    <row r="11">
      <c r="A11" s="8" t="n">
        <v>2</v>
      </c>
      <c r="B11" s="21" t="n"/>
      <c r="C11" s="21" t="n"/>
      <c r="D11" s="21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3">
        <f>IF(COUNT(E11:L11)=0,"",SUM(E11:L11))</f>
        <v/>
      </c>
      <c r="N11" s="37">
        <f>IFERROR(IF($M11="","",$M11/IF($D11="정보중심",$S$11,$S$10)),"")</f>
        <v/>
      </c>
      <c r="O11" s="25">
        <f>IF($N11="","",IF($N11&gt;=0.9,"A",IF($N11&gt;=0.7,"B",IF($N11&gt;=0.5,"C",IF($N11&gt;=0.3,"D","E")))))</f>
        <v/>
      </c>
      <c r="R11" s="26" t="inlineStr">
        <is>
          <t>정보중심</t>
        </is>
      </c>
      <c r="S11" s="27" t="n">
        <v>37</v>
      </c>
    </row>
    <row r="12">
      <c r="A12" s="8" t="n">
        <v>3</v>
      </c>
      <c r="B12" s="21" t="n"/>
      <c r="C12" s="21" t="n"/>
      <c r="D12" s="21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3">
        <f>IF(COUNT(E12:L12)=0,"",SUM(E12:L12))</f>
        <v/>
      </c>
      <c r="N12" s="37">
        <f>IFERROR(IF($M12="","",$M12/IF($D12="정보중심",$S$11,$S$10)),"")</f>
        <v/>
      </c>
      <c r="O12" s="25">
        <f>IF($N12="","",IF($N12&gt;=0.9,"A",IF($N12&gt;=0.7,"B",IF($N12&gt;=0.5,"C",IF($N12&gt;=0.3,"D","E")))))</f>
        <v/>
      </c>
      <c r="R12" s="28" t="inlineStr">
        <is>
          <t>※ 웹앱 소스에서 자동 산출한 값입니다.</t>
        </is>
      </c>
    </row>
    <row r="13">
      <c r="A13" s="8" t="n">
        <v>4</v>
      </c>
      <c r="B13" s="21" t="n"/>
      <c r="C13" s="21" t="n"/>
      <c r="D13" s="21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3">
        <f>IF(COUNT(E13:L13)=0,"",SUM(E13:L13))</f>
        <v/>
      </c>
      <c r="N13" s="37">
        <f>IFERROR(IF($M13="","",$M13/IF($D13="정보중심",$S$11,$S$10)),"")</f>
        <v/>
      </c>
      <c r="O13" s="25">
        <f>IF($N13="","",IF($N13&gt;=0.9,"A",IF($N13&gt;=0.7,"B",IF($N13&gt;=0.5,"C",IF($N13&gt;=0.3,"D","E")))))</f>
        <v/>
      </c>
    </row>
    <row r="14">
      <c r="A14" s="8" t="n">
        <v>5</v>
      </c>
      <c r="B14" s="21" t="n"/>
      <c r="C14" s="21" t="n"/>
      <c r="D14" s="21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3">
        <f>IF(COUNT(E14:L14)=0,"",SUM(E14:L14))</f>
        <v/>
      </c>
      <c r="N14" s="37">
        <f>IFERROR(IF($M14="","",$M14/IF($D14="정보중심",$S$11,$S$10)),"")</f>
        <v/>
      </c>
      <c r="O14" s="25">
        <f>IF($N14="","",IF($N14&gt;=0.9,"A",IF($N14&gt;=0.7,"B",IF($N14&gt;=0.5,"C",IF($N14&gt;=0.3,"D","E")))))</f>
        <v/>
      </c>
    </row>
    <row r="15">
      <c r="A15" s="8" t="n">
        <v>6</v>
      </c>
      <c r="B15" s="21" t="n"/>
      <c r="C15" s="21" t="n"/>
      <c r="D15" s="21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3">
        <f>IF(COUNT(E15:L15)=0,"",SUM(E15:L15))</f>
        <v/>
      </c>
      <c r="N15" s="37">
        <f>IFERROR(IF($M15="","",$M15/IF($D15="정보중심",$S$11,$S$10)),"")</f>
        <v/>
      </c>
      <c r="O15" s="25">
        <f>IF($N15="","",IF($N15&gt;=0.9,"A",IF($N15&gt;=0.7,"B",IF($N15&gt;=0.5,"C",IF($N15&gt;=0.3,"D","E")))))</f>
        <v/>
      </c>
    </row>
    <row r="16">
      <c r="A16" s="8" t="n">
        <v>7</v>
      </c>
      <c r="B16" s="21" t="n"/>
      <c r="C16" s="21" t="n"/>
      <c r="D16" s="21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3">
        <f>IF(COUNT(E16:L16)=0,"",SUM(E16:L16))</f>
        <v/>
      </c>
      <c r="N16" s="37">
        <f>IFERROR(IF($M16="","",$M16/IF($D16="정보중심",$S$11,$S$10)),"")</f>
        <v/>
      </c>
      <c r="O16" s="25">
        <f>IF($N16="","",IF($N16&gt;=0.9,"A",IF($N16&gt;=0.7,"B",IF($N16&gt;=0.5,"C",IF($N16&gt;=0.3,"D","E")))))</f>
        <v/>
      </c>
    </row>
    <row r="17">
      <c r="A17" s="8" t="n">
        <v>8</v>
      </c>
      <c r="B17" s="21" t="n"/>
      <c r="C17" s="21" t="n"/>
      <c r="D17" s="21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3">
        <f>IF(COUNT(E17:L17)=0,"",SUM(E17:L17))</f>
        <v/>
      </c>
      <c r="N17" s="37">
        <f>IFERROR(IF($M17="","",$M17/IF($D17="정보중심",$S$11,$S$10)),"")</f>
        <v/>
      </c>
      <c r="O17" s="25">
        <f>IF($N17="","",IF($N17&gt;=0.9,"A",IF($N17&gt;=0.7,"B",IF($N17&gt;=0.5,"C",IF($N17&gt;=0.3,"D","E")))))</f>
        <v/>
      </c>
    </row>
    <row r="18">
      <c r="A18" s="8" t="n">
        <v>9</v>
      </c>
      <c r="B18" s="21" t="n"/>
      <c r="C18" s="21" t="n"/>
      <c r="D18" s="21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3">
        <f>IF(COUNT(E18:L18)=0,"",SUM(E18:L18))</f>
        <v/>
      </c>
      <c r="N18" s="37">
        <f>IFERROR(IF($M18="","",$M18/IF($D18="정보중심",$S$11,$S$10)),"")</f>
        <v/>
      </c>
      <c r="O18" s="25">
        <f>IF($N18="","",IF($N18&gt;=0.9,"A",IF($N18&gt;=0.7,"B",IF($N18&gt;=0.5,"C",IF($N18&gt;=0.3,"D","E")))))</f>
        <v/>
      </c>
    </row>
    <row r="19">
      <c r="A19" s="8" t="n">
        <v>10</v>
      </c>
      <c r="B19" s="21" t="n"/>
      <c r="C19" s="21" t="n"/>
      <c r="D19" s="21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3">
        <f>IF(COUNT(E19:L19)=0,"",SUM(E19:L19))</f>
        <v/>
      </c>
      <c r="N19" s="37">
        <f>IFERROR(IF($M19="","",$M19/IF($D19="정보중심",$S$11,$S$10)),"")</f>
        <v/>
      </c>
      <c r="O19" s="25">
        <f>IF($N19="","",IF($N19&gt;=0.9,"A",IF($N19&gt;=0.7,"B",IF($N19&gt;=0.5,"C",IF($N19&gt;=0.3,"D","E")))))</f>
        <v/>
      </c>
    </row>
    <row r="20">
      <c r="A20" s="8" t="n">
        <v>11</v>
      </c>
      <c r="B20" s="21" t="n"/>
      <c r="C20" s="21" t="n"/>
      <c r="D20" s="21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3">
        <f>IF(COUNT(E20:L20)=0,"",SUM(E20:L20))</f>
        <v/>
      </c>
      <c r="N20" s="37">
        <f>IFERROR(IF($M20="","",$M20/IF($D20="정보중심",$S$11,$S$10)),"")</f>
        <v/>
      </c>
      <c r="O20" s="25">
        <f>IF($N20="","",IF($N20&gt;=0.9,"A",IF($N20&gt;=0.7,"B",IF($N20&gt;=0.5,"C",IF($N20&gt;=0.3,"D","E")))))</f>
        <v/>
      </c>
    </row>
    <row r="21">
      <c r="A21" s="8" t="n">
        <v>12</v>
      </c>
      <c r="B21" s="21" t="n"/>
      <c r="C21" s="21" t="n"/>
      <c r="D21" s="21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3">
        <f>IF(COUNT(E21:L21)=0,"",SUM(E21:L21))</f>
        <v/>
      </c>
      <c r="N21" s="37">
        <f>IFERROR(IF($M21="","",$M21/IF($D21="정보중심",$S$11,$S$10)),"")</f>
        <v/>
      </c>
      <c r="O21" s="25">
        <f>IF($N21="","",IF($N21&gt;=0.9,"A",IF($N21&gt;=0.7,"B",IF($N21&gt;=0.5,"C",IF($N21&gt;=0.3,"D","E")))))</f>
        <v/>
      </c>
    </row>
    <row r="22">
      <c r="A22" s="8" t="n">
        <v>13</v>
      </c>
      <c r="B22" s="21" t="n"/>
      <c r="C22" s="21" t="n"/>
      <c r="D22" s="21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3">
        <f>IF(COUNT(E22:L22)=0,"",SUM(E22:L22))</f>
        <v/>
      </c>
      <c r="N22" s="37">
        <f>IFERROR(IF($M22="","",$M22/IF($D22="정보중심",$S$11,$S$10)),"")</f>
        <v/>
      </c>
      <c r="O22" s="25">
        <f>IF($N22="","",IF($N22&gt;=0.9,"A",IF($N22&gt;=0.7,"B",IF($N22&gt;=0.5,"C",IF($N22&gt;=0.3,"D","E")))))</f>
        <v/>
      </c>
    </row>
    <row r="23">
      <c r="A23" s="8" t="n">
        <v>14</v>
      </c>
      <c r="B23" s="21" t="n"/>
      <c r="C23" s="21" t="n"/>
      <c r="D23" s="21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3">
        <f>IF(COUNT(E23:L23)=0,"",SUM(E23:L23))</f>
        <v/>
      </c>
      <c r="N23" s="37">
        <f>IFERROR(IF($M23="","",$M23/IF($D23="정보중심",$S$11,$S$10)),"")</f>
        <v/>
      </c>
      <c r="O23" s="25">
        <f>IF($N23="","",IF($N23&gt;=0.9,"A",IF($N23&gt;=0.7,"B",IF($N23&gt;=0.5,"C",IF($N23&gt;=0.3,"D","E")))))</f>
        <v/>
      </c>
    </row>
    <row r="24">
      <c r="A24" s="8" t="n">
        <v>15</v>
      </c>
      <c r="B24" s="21" t="n"/>
      <c r="C24" s="21" t="n"/>
      <c r="D24" s="21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3">
        <f>IF(COUNT(E24:L24)=0,"",SUM(E24:L24))</f>
        <v/>
      </c>
      <c r="N24" s="37">
        <f>IFERROR(IF($M24="","",$M24/IF($D24="정보중심",$S$11,$S$10)),"")</f>
        <v/>
      </c>
      <c r="O24" s="25">
        <f>IF($N24="","",IF($N24&gt;=0.9,"A",IF($N24&gt;=0.7,"B",IF($N24&gt;=0.5,"C",IF($N24&gt;=0.3,"D","E")))))</f>
        <v/>
      </c>
    </row>
    <row r="25">
      <c r="A25" s="8" t="n">
        <v>16</v>
      </c>
      <c r="B25" s="21" t="n"/>
      <c r="C25" s="21" t="n"/>
      <c r="D25" s="21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3">
        <f>IF(COUNT(E25:L25)=0,"",SUM(E25:L25))</f>
        <v/>
      </c>
      <c r="N25" s="37">
        <f>IFERROR(IF($M25="","",$M25/IF($D25="정보중심",$S$11,$S$10)),"")</f>
        <v/>
      </c>
      <c r="O25" s="25">
        <f>IF($N25="","",IF($N25&gt;=0.9,"A",IF($N25&gt;=0.7,"B",IF($N25&gt;=0.5,"C",IF($N25&gt;=0.3,"D","E")))))</f>
        <v/>
      </c>
    </row>
    <row r="26">
      <c r="A26" s="8" t="n">
        <v>17</v>
      </c>
      <c r="B26" s="21" t="n"/>
      <c r="C26" s="21" t="n"/>
      <c r="D26" s="21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3">
        <f>IF(COUNT(E26:L26)=0,"",SUM(E26:L26))</f>
        <v/>
      </c>
      <c r="N26" s="37">
        <f>IFERROR(IF($M26="","",$M26/IF($D26="정보중심",$S$11,$S$10)),"")</f>
        <v/>
      </c>
      <c r="O26" s="25">
        <f>IF($N26="","",IF($N26&gt;=0.9,"A",IF($N26&gt;=0.7,"B",IF($N26&gt;=0.5,"C",IF($N26&gt;=0.3,"D","E")))))</f>
        <v/>
      </c>
    </row>
    <row r="27">
      <c r="A27" s="8" t="n">
        <v>18</v>
      </c>
      <c r="B27" s="21" t="n"/>
      <c r="C27" s="21" t="n"/>
      <c r="D27" s="21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3">
        <f>IF(COUNT(E27:L27)=0,"",SUM(E27:L27))</f>
        <v/>
      </c>
      <c r="N27" s="37">
        <f>IFERROR(IF($M27="","",$M27/IF($D27="정보중심",$S$11,$S$10)),"")</f>
        <v/>
      </c>
      <c r="O27" s="25">
        <f>IF($N27="","",IF($N27&gt;=0.9,"A",IF($N27&gt;=0.7,"B",IF($N27&gt;=0.5,"C",IF($N27&gt;=0.3,"D","E")))))</f>
        <v/>
      </c>
    </row>
    <row r="28">
      <c r="A28" s="8" t="n">
        <v>19</v>
      </c>
      <c r="B28" s="21" t="n"/>
      <c r="C28" s="21" t="n"/>
      <c r="D28" s="21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3">
        <f>IF(COUNT(E28:L28)=0,"",SUM(E28:L28))</f>
        <v/>
      </c>
      <c r="N28" s="37">
        <f>IFERROR(IF($M28="","",$M28/IF($D28="정보중심",$S$11,$S$10)),"")</f>
        <v/>
      </c>
      <c r="O28" s="25">
        <f>IF($N28="","",IF($N28&gt;=0.9,"A",IF($N28&gt;=0.7,"B",IF($N28&gt;=0.5,"C",IF($N28&gt;=0.3,"D","E")))))</f>
        <v/>
      </c>
    </row>
    <row r="29">
      <c r="A29" s="8" t="n">
        <v>20</v>
      </c>
      <c r="B29" s="21" t="n"/>
      <c r="C29" s="21" t="n"/>
      <c r="D29" s="21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3">
        <f>IF(COUNT(E29:L29)=0,"",SUM(E29:L29))</f>
        <v/>
      </c>
      <c r="N29" s="37">
        <f>IFERROR(IF($M29="","",$M29/IF($D29="정보중심",$S$11,$S$10)),"")</f>
        <v/>
      </c>
      <c r="O29" s="25">
        <f>IF($N29="","",IF($N29&gt;=0.9,"A",IF($N29&gt;=0.7,"B",IF($N29&gt;=0.5,"C",IF($N29&gt;=0.3,"D","E")))))</f>
        <v/>
      </c>
    </row>
    <row r="30">
      <c r="A30" s="8" t="n">
        <v>21</v>
      </c>
      <c r="B30" s="21" t="n"/>
      <c r="C30" s="21" t="n"/>
      <c r="D30" s="21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3">
        <f>IF(COUNT(E30:L30)=0,"",SUM(E30:L30))</f>
        <v/>
      </c>
      <c r="N30" s="37">
        <f>IFERROR(IF($M30="","",$M30/IF($D30="정보중심",$S$11,$S$10)),"")</f>
        <v/>
      </c>
      <c r="O30" s="25">
        <f>IF($N30="","",IF($N30&gt;=0.9,"A",IF($N30&gt;=0.7,"B",IF($N30&gt;=0.5,"C",IF($N30&gt;=0.3,"D","E")))))</f>
        <v/>
      </c>
    </row>
    <row r="31">
      <c r="A31" s="8" t="n">
        <v>22</v>
      </c>
      <c r="B31" s="21" t="n"/>
      <c r="C31" s="21" t="n"/>
      <c r="D31" s="21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3">
        <f>IF(COUNT(E31:L31)=0,"",SUM(E31:L31))</f>
        <v/>
      </c>
      <c r="N31" s="37">
        <f>IFERROR(IF($M31="","",$M31/IF($D31="정보중심",$S$11,$S$10)),"")</f>
        <v/>
      </c>
      <c r="O31" s="25">
        <f>IF($N31="","",IF($N31&gt;=0.9,"A",IF($N31&gt;=0.7,"B",IF($N31&gt;=0.5,"C",IF($N31&gt;=0.3,"D","E")))))</f>
        <v/>
      </c>
    </row>
    <row r="32">
      <c r="A32" s="8" t="n">
        <v>23</v>
      </c>
      <c r="B32" s="21" t="n"/>
      <c r="C32" s="21" t="n"/>
      <c r="D32" s="21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3">
        <f>IF(COUNT(E32:L32)=0,"",SUM(E32:L32))</f>
        <v/>
      </c>
      <c r="N32" s="37">
        <f>IFERROR(IF($M32="","",$M32/IF($D32="정보중심",$S$11,$S$10)),"")</f>
        <v/>
      </c>
      <c r="O32" s="25">
        <f>IF($N32="","",IF($N32&gt;=0.9,"A",IF($N32&gt;=0.7,"B",IF($N32&gt;=0.5,"C",IF($N32&gt;=0.3,"D","E")))))</f>
        <v/>
      </c>
    </row>
    <row r="33">
      <c r="A33" s="8" t="n">
        <v>24</v>
      </c>
      <c r="B33" s="21" t="n"/>
      <c r="C33" s="21" t="n"/>
      <c r="D33" s="21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3">
        <f>IF(COUNT(E33:L33)=0,"",SUM(E33:L33))</f>
        <v/>
      </c>
      <c r="N33" s="37">
        <f>IFERROR(IF($M33="","",$M33/IF($D33="정보중심",$S$11,$S$10)),"")</f>
        <v/>
      </c>
      <c r="O33" s="25">
        <f>IF($N33="","",IF($N33&gt;=0.9,"A",IF($N33&gt;=0.7,"B",IF($N33&gt;=0.5,"C",IF($N33&gt;=0.3,"D","E")))))</f>
        <v/>
      </c>
    </row>
    <row r="34">
      <c r="A34" s="8" t="n">
        <v>25</v>
      </c>
      <c r="B34" s="21" t="n"/>
      <c r="C34" s="21" t="n"/>
      <c r="D34" s="21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3">
        <f>IF(COUNT(E34:L34)=0,"",SUM(E34:L34))</f>
        <v/>
      </c>
      <c r="N34" s="37">
        <f>IFERROR(IF($M34="","",$M34/IF($D34="정보중심",$S$11,$S$10)),"")</f>
        <v/>
      </c>
      <c r="O34" s="25">
        <f>IF($N34="","",IF($N34&gt;=0.9,"A",IF($N34&gt;=0.7,"B",IF($N34&gt;=0.5,"C",IF($N34&gt;=0.3,"D","E")))))</f>
        <v/>
      </c>
    </row>
    <row r="35">
      <c r="A35" s="8" t="n">
        <v>26</v>
      </c>
      <c r="B35" s="21" t="n"/>
      <c r="C35" s="21" t="n"/>
      <c r="D35" s="21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3">
        <f>IF(COUNT(E35:L35)=0,"",SUM(E35:L35))</f>
        <v/>
      </c>
      <c r="N35" s="37">
        <f>IFERROR(IF($M35="","",$M35/IF($D35="정보중심",$S$11,$S$10)),"")</f>
        <v/>
      </c>
      <c r="O35" s="25">
        <f>IF($N35="","",IF($N35&gt;=0.9,"A",IF($N35&gt;=0.7,"B",IF($N35&gt;=0.5,"C",IF($N35&gt;=0.3,"D","E")))))</f>
        <v/>
      </c>
    </row>
    <row r="36">
      <c r="A36" s="8" t="n">
        <v>27</v>
      </c>
      <c r="B36" s="21" t="n"/>
      <c r="C36" s="21" t="n"/>
      <c r="D36" s="21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3">
        <f>IF(COUNT(E36:L36)=0,"",SUM(E36:L36))</f>
        <v/>
      </c>
      <c r="N36" s="37">
        <f>IFERROR(IF($M36="","",$M36/IF($D36="정보중심",$S$11,$S$10)),"")</f>
        <v/>
      </c>
      <c r="O36" s="25">
        <f>IF($N36="","",IF($N36&gt;=0.9,"A",IF($N36&gt;=0.7,"B",IF($N36&gt;=0.5,"C",IF($N36&gt;=0.3,"D","E")))))</f>
        <v/>
      </c>
    </row>
    <row r="37">
      <c r="A37" s="8" t="n">
        <v>28</v>
      </c>
      <c r="B37" s="21" t="n"/>
      <c r="C37" s="21" t="n"/>
      <c r="D37" s="21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3">
        <f>IF(COUNT(E37:L37)=0,"",SUM(E37:L37))</f>
        <v/>
      </c>
      <c r="N37" s="37">
        <f>IFERROR(IF($M37="","",$M37/IF($D37="정보중심",$S$11,$S$10)),"")</f>
        <v/>
      </c>
      <c r="O37" s="25">
        <f>IF($N37="","",IF($N37&gt;=0.9,"A",IF($N37&gt;=0.7,"B",IF($N37&gt;=0.5,"C",IF($N37&gt;=0.3,"D","E")))))</f>
        <v/>
      </c>
    </row>
    <row r="38">
      <c r="A38" s="8" t="n">
        <v>29</v>
      </c>
      <c r="B38" s="21" t="n"/>
      <c r="C38" s="21" t="n"/>
      <c r="D38" s="21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3">
        <f>IF(COUNT(E38:L38)=0,"",SUM(E38:L38))</f>
        <v/>
      </c>
      <c r="N38" s="37">
        <f>IFERROR(IF($M38="","",$M38/IF($D38="정보중심",$S$11,$S$10)),"")</f>
        <v/>
      </c>
      <c r="O38" s="25">
        <f>IF($N38="","",IF($N38&gt;=0.9,"A",IF($N38&gt;=0.7,"B",IF($N38&gt;=0.5,"C",IF($N38&gt;=0.3,"D","E")))))</f>
        <v/>
      </c>
    </row>
    <row r="39">
      <c r="A39" s="8" t="n">
        <v>30</v>
      </c>
      <c r="B39" s="21" t="n"/>
      <c r="C39" s="21" t="n"/>
      <c r="D39" s="21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3">
        <f>IF(COUNT(E39:L39)=0,"",SUM(E39:L39))</f>
        <v/>
      </c>
      <c r="N39" s="37">
        <f>IFERROR(IF($M39="","",$M39/IF($D39="정보중심",$S$11,$S$10)),"")</f>
        <v/>
      </c>
      <c r="O39" s="25">
        <f>IF($N39="","",IF($N39&gt;=0.9,"A",IF($N39&gt;=0.7,"B",IF($N39&gt;=0.5,"C",IF($N39&gt;=0.3,"D","E")))))</f>
        <v/>
      </c>
    </row>
    <row r="40">
      <c r="A40" s="8" t="n">
        <v>31</v>
      </c>
      <c r="B40" s="21" t="n"/>
      <c r="C40" s="21" t="n"/>
      <c r="D40" s="21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3">
        <f>IF(COUNT(E40:L40)=0,"",SUM(E40:L40))</f>
        <v/>
      </c>
      <c r="N40" s="37">
        <f>IFERROR(IF($M40="","",$M40/IF($D40="정보중심",$S$11,$S$10)),"")</f>
        <v/>
      </c>
      <c r="O40" s="25">
        <f>IF($N40="","",IF($N40&gt;=0.9,"A",IF($N40&gt;=0.7,"B",IF($N40&gt;=0.5,"C",IF($N40&gt;=0.3,"D","E")))))</f>
        <v/>
      </c>
    </row>
  </sheetData>
  <mergeCells count="3">
    <mergeCell ref="A5:N7"/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2026-08-26T04:18:26Z</dcterms:created>
  <dcterms:modified xmlns:dcterms="http://purl.org/dc/terms/" xmlns:xsi="http://www.w3.org/2001/XMLSchema-instance" xsi:type="dcterms:W3CDTF">2026-09-19T07:30:46Z</dcterms:modified>
  <cp:lastModifiedBy>user</cp:lastModifiedBy>
</cp:coreProperties>
</file>